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75" windowHeight="8070"/>
  </bookViews>
  <sheets>
    <sheet name="Passive Gear" sheetId="1" r:id="rId1"/>
    <sheet name="Lists" sheetId="2" state="hidden" r:id="rId2"/>
  </sheets>
  <definedNames>
    <definedName name="GearTypep">Lists!$M$2:$N$6</definedName>
    <definedName name="GearTypep1">Lists!$M$2:$N$7</definedName>
    <definedName name="GearTypep2">Lists!$M$1:$N$7</definedName>
    <definedName name="Macrohabitatpassive">Lists!$H$2:$I$26</definedName>
    <definedName name="MeshSizep">Lists!$Q$2:$Q$11</definedName>
    <definedName name="Microhabitatpassive">Lists!$J$2:$K$31</definedName>
    <definedName name="SppCodepassive">Lists!$E$2:$F$277</definedName>
    <definedName name="WaterCodep">Lists!$A$1:$B$489</definedName>
    <definedName name="WaterCodepassive">Lists!$A$2:$B$490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/>
  <c r="AA1" i="1"/>
  <c r="AB1" i="1" s="1"/>
  <c r="AE1" i="1" l="1"/>
</calcChain>
</file>

<file path=xl/sharedStrings.xml><?xml version="1.0" encoding="utf-8"?>
<sst xmlns="http://schemas.openxmlformats.org/spreadsheetml/2006/main" count="868" uniqueCount="852">
  <si>
    <t xml:space="preserve">Water Code </t>
  </si>
  <si>
    <t>Stratum</t>
  </si>
  <si>
    <t xml:space="preserve">Stratum Wt.  </t>
  </si>
  <si>
    <t>Station</t>
  </si>
  <si>
    <t>Gear Type</t>
  </si>
  <si>
    <t>Mesh Size</t>
  </si>
  <si>
    <t>Date Set</t>
  </si>
  <si>
    <t>Time Set</t>
  </si>
  <si>
    <t>Date Retrieved</t>
  </si>
  <si>
    <t>Time Retrieved</t>
  </si>
  <si>
    <t>Water Temp.</t>
  </si>
  <si>
    <t>Water Vis.</t>
  </si>
  <si>
    <t>Macrohabitat</t>
  </si>
  <si>
    <t>Microhabitat</t>
  </si>
  <si>
    <t>Spp. Code</t>
  </si>
  <si>
    <t>Length</t>
  </si>
  <si>
    <t>Length Group</t>
  </si>
  <si>
    <t>Number</t>
  </si>
  <si>
    <t>Weight</t>
  </si>
  <si>
    <t>Notes</t>
  </si>
  <si>
    <t>(50 char. Max)</t>
  </si>
  <si>
    <t>(grams)</t>
  </si>
  <si>
    <t>(cm)</t>
  </si>
  <si>
    <t>(mm)</t>
  </si>
  <si>
    <t>(⁰C)</t>
  </si>
  <si>
    <t>(inches)</t>
  </si>
  <si>
    <t>(Decimal Degrees)</t>
  </si>
  <si>
    <t>(mm-dd-yyyy)</t>
  </si>
  <si>
    <t>(0-1)</t>
  </si>
  <si>
    <t xml:space="preserve">Latitude </t>
  </si>
  <si>
    <t>Longitude</t>
  </si>
  <si>
    <t>Code</t>
  </si>
  <si>
    <t>Name</t>
  </si>
  <si>
    <t>Species</t>
  </si>
  <si>
    <t>Macrohabitats</t>
  </si>
  <si>
    <t>Microhabitats</t>
  </si>
  <si>
    <t>Private Pond</t>
  </si>
  <si>
    <t>Chestnut lamprey</t>
  </si>
  <si>
    <t>Lower reservoir</t>
  </si>
  <si>
    <t>Cover absent</t>
  </si>
  <si>
    <t>Aberdeen Lake</t>
  </si>
  <si>
    <t>Southern brook lamprey</t>
  </si>
  <si>
    <t>Middle reservoir</t>
  </si>
  <si>
    <t>Cover present (vegetation, wood, rock, etc.)</t>
  </si>
  <si>
    <t>Aliceville Lake</t>
  </si>
  <si>
    <t>Silver lamprey</t>
  </si>
  <si>
    <t>Upper reservoir</t>
  </si>
  <si>
    <t>Installed fish attractors</t>
  </si>
  <si>
    <t>Bay Springs Lake</t>
  </si>
  <si>
    <t>Least brook lamprey</t>
  </si>
  <si>
    <t>Main-lake open water</t>
  </si>
  <si>
    <t>Man-made piers/docks</t>
  </si>
  <si>
    <t>Columbus Lake</t>
  </si>
  <si>
    <t>Lake sturgeon</t>
  </si>
  <si>
    <t>Main-lake points</t>
  </si>
  <si>
    <t>Sea walls &amp; pilings</t>
  </si>
  <si>
    <t>Divide Cut Tenn Tom</t>
  </si>
  <si>
    <t>Atlantic sturgeon</t>
  </si>
  <si>
    <t>Main-lake shoreline</t>
  </si>
  <si>
    <t>Road bed</t>
  </si>
  <si>
    <t>Lock A Tenn Tom</t>
  </si>
  <si>
    <t>Pallid sturgeon</t>
  </si>
  <si>
    <t>Canal or Slough</t>
  </si>
  <si>
    <t>Standing timber/fallen timber/stumps</t>
  </si>
  <si>
    <t>Lock B Tenn Tom</t>
  </si>
  <si>
    <t>Shovelnose sturgeon</t>
  </si>
  <si>
    <t>Island</t>
  </si>
  <si>
    <t>Submerged hump</t>
  </si>
  <si>
    <t>Lock C Tenn Tom</t>
  </si>
  <si>
    <t>Paddlefish</t>
  </si>
  <si>
    <t>Cove</t>
  </si>
  <si>
    <t>Shallow flat</t>
  </si>
  <si>
    <t>Lock D Tenn Tom</t>
  </si>
  <si>
    <t>Spotted gar</t>
  </si>
  <si>
    <t>Dam</t>
  </si>
  <si>
    <t>Shore boulder</t>
  </si>
  <si>
    <t>Lock E Tenn Tom</t>
  </si>
  <si>
    <t>Longnose gar</t>
  </si>
  <si>
    <t>Lowhead dam</t>
  </si>
  <si>
    <t>Shore clay (structure absent)</t>
  </si>
  <si>
    <t>Pickwick Lake</t>
  </si>
  <si>
    <t>Shortnose gar</t>
  </si>
  <si>
    <t>Spillway</t>
  </si>
  <si>
    <t>Shore clay (structure present)</t>
  </si>
  <si>
    <t>Bluff Lake</t>
  </si>
  <si>
    <t>Alligator gar</t>
  </si>
  <si>
    <t>River/Stream channel</t>
  </si>
  <si>
    <t>Shore cobble/stone</t>
  </si>
  <si>
    <t>Loakfoma Lake</t>
  </si>
  <si>
    <t>Gar</t>
  </si>
  <si>
    <t>River/Stream dikes</t>
  </si>
  <si>
    <t>Shore gravel (structure absent)</t>
  </si>
  <si>
    <t>Beaver Lake Itawamba Co.</t>
  </si>
  <si>
    <t>Bowfin</t>
  </si>
  <si>
    <t>River/Stream natural bank</t>
  </si>
  <si>
    <t>Shore gravel (structure present)</t>
  </si>
  <si>
    <t>Beck Lake</t>
  </si>
  <si>
    <t>American Eel</t>
  </si>
  <si>
    <t>River/Stream oxbow</t>
  </si>
  <si>
    <t>Shore rip/rap</t>
  </si>
  <si>
    <t>Chambers Creek Sloughs</t>
  </si>
  <si>
    <t>Alabama shad</t>
  </si>
  <si>
    <t>River/Stream pool</t>
  </si>
  <si>
    <t>Shore rocky ledge</t>
  </si>
  <si>
    <t>Cripple Deer Creek</t>
  </si>
  <si>
    <t>Skipjack herring</t>
  </si>
  <si>
    <t>River/Stream revetment bank</t>
  </si>
  <si>
    <t>Shore sand (structure absent)</t>
  </si>
  <si>
    <t>Davis Lake</t>
  </si>
  <si>
    <t>Gizzard shad</t>
  </si>
  <si>
    <t>River/Stream riffle</t>
  </si>
  <si>
    <t>Shore sand (structure present)</t>
  </si>
  <si>
    <t>Gordon Lake</t>
  </si>
  <si>
    <t>Threadfin shad</t>
  </si>
  <si>
    <t>River/Stream run</t>
  </si>
  <si>
    <t>Shore silt (structure absent)</t>
  </si>
  <si>
    <t>Henson Slash</t>
  </si>
  <si>
    <t>Dorosoma spp.</t>
  </si>
  <si>
    <t>River/Stream sandbar</t>
  </si>
  <si>
    <t>Shore silt (structure present)</t>
  </si>
  <si>
    <t>Lake Tiah-O'Kata</t>
  </si>
  <si>
    <t>Goldeye</t>
  </si>
  <si>
    <t>River/Stream secondary channel</t>
  </si>
  <si>
    <t>Vegetated shore upland grasses</t>
  </si>
  <si>
    <t>Lakeview Bed and Breakfast</t>
  </si>
  <si>
    <t>Mooneye</t>
  </si>
  <si>
    <t>Shallow bend (oxbow or stream)</t>
  </si>
  <si>
    <t>Vegetated shore upland woody vegetation</t>
  </si>
  <si>
    <t>Little Owl Lake</t>
  </si>
  <si>
    <t>Rainbow trout</t>
  </si>
  <si>
    <t>Deep bend (oxbow or stream)</t>
  </si>
  <si>
    <t>Vegetation aquatic Cypress trees</t>
  </si>
  <si>
    <t>Old Big Brown Slough</t>
  </si>
  <si>
    <t>Rainbow smelt</t>
  </si>
  <si>
    <t>Wetland</t>
  </si>
  <si>
    <t>Vegetation aquatic emergent</t>
  </si>
  <si>
    <t>Pontotoc Lake</t>
  </si>
  <si>
    <t>Redfin pickerel</t>
  </si>
  <si>
    <t>Vegetation aquatic floating</t>
  </si>
  <si>
    <t>Rose Hill Lake</t>
  </si>
  <si>
    <t>Chain pickerel</t>
  </si>
  <si>
    <t>Vegetation aquatic submerged</t>
  </si>
  <si>
    <t>Ross Branch</t>
  </si>
  <si>
    <t>Esox spp.</t>
  </si>
  <si>
    <t>Vegetation seasonally flooded terrestrial</t>
  </si>
  <si>
    <t>Slab Lake</t>
  </si>
  <si>
    <t>Grass carp</t>
  </si>
  <si>
    <t>Veteran's Park Lake</t>
  </si>
  <si>
    <t>Black carp</t>
  </si>
  <si>
    <t>Ballard Park Lake</t>
  </si>
  <si>
    <t>Bighead carp</t>
  </si>
  <si>
    <t>Dorman Lake</t>
  </si>
  <si>
    <t>Silver carp</t>
  </si>
  <si>
    <t>McAlpine Lake</t>
  </si>
  <si>
    <t>Cyprinids</t>
  </si>
  <si>
    <t>Dumas Lake</t>
  </si>
  <si>
    <t>Stoneroller</t>
  </si>
  <si>
    <t>Elvis Presley Lake</t>
  </si>
  <si>
    <t>Goldfish</t>
  </si>
  <si>
    <t>Lake Lamar Bruce</t>
  </si>
  <si>
    <t>Rosyside dace</t>
  </si>
  <si>
    <t>Lake Monroe</t>
  </si>
  <si>
    <t>Common carp</t>
  </si>
  <si>
    <t>Oktibbeha County Lake</t>
  </si>
  <si>
    <t>Carp &amp; Goldfish</t>
  </si>
  <si>
    <t>Tippah County Lake</t>
  </si>
  <si>
    <t>Silverjaw minnow</t>
  </si>
  <si>
    <t>Lake Lowndes</t>
  </si>
  <si>
    <t>Cypress minnow</t>
  </si>
  <si>
    <t>Legion Lake</t>
  </si>
  <si>
    <t>Silvery minnow</t>
  </si>
  <si>
    <t>Tishomingo State Park</t>
  </si>
  <si>
    <t>Speckled chub</t>
  </si>
  <si>
    <t>Tombigbee State Park</t>
  </si>
  <si>
    <t>Bigeye chub</t>
  </si>
  <si>
    <t>Trace State Park</t>
  </si>
  <si>
    <t>Sturgeon chub</t>
  </si>
  <si>
    <t>Bear Creek Tishomingo Co.</t>
  </si>
  <si>
    <t>Flathead chub</t>
  </si>
  <si>
    <t>Big Brown Creek</t>
  </si>
  <si>
    <t>Sicklefin chub</t>
  </si>
  <si>
    <t>Bull Mountain Creek</t>
  </si>
  <si>
    <t>Silver chub</t>
  </si>
  <si>
    <t>Buttahatchie River</t>
  </si>
  <si>
    <t>Bluehead chub</t>
  </si>
  <si>
    <t>Catalpa Creek</t>
  </si>
  <si>
    <t>Golden shiner</t>
  </si>
  <si>
    <t>Chiwapa Creek</t>
  </si>
  <si>
    <t>Notropis</t>
  </si>
  <si>
    <t>Chuquatonchee Creek</t>
  </si>
  <si>
    <t>Pallid shiner</t>
  </si>
  <si>
    <t>Gum Creek</t>
  </si>
  <si>
    <t>Emerald shiner</t>
  </si>
  <si>
    <t>Hashuqua Creek</t>
  </si>
  <si>
    <t>Rough shiner</t>
  </si>
  <si>
    <t>Hatchie River</t>
  </si>
  <si>
    <t>Pretty shiner</t>
  </si>
  <si>
    <t>Houlka Creek</t>
  </si>
  <si>
    <t>River shiner</t>
  </si>
  <si>
    <t>Line Creek</t>
  </si>
  <si>
    <t>Bigeye shiner</t>
  </si>
  <si>
    <t>Luxapalila Creek</t>
  </si>
  <si>
    <t>Ghost shiner</t>
  </si>
  <si>
    <t>Mackeys Creek</t>
  </si>
  <si>
    <t>Alabama shiner</t>
  </si>
  <si>
    <t>Mattubby Creek</t>
  </si>
  <si>
    <t>Bluntface shiner</t>
  </si>
  <si>
    <t>Mud Creek</t>
  </si>
  <si>
    <t>Silverside shiner</t>
  </si>
  <si>
    <t>Muddy Creek</t>
  </si>
  <si>
    <t>Ironcolor shiner</t>
  </si>
  <si>
    <t>Nanawaya Creek</t>
  </si>
  <si>
    <t>Striped shiner</t>
  </si>
  <si>
    <t>Noxubee River</t>
  </si>
  <si>
    <t>Common shiner</t>
  </si>
  <si>
    <t>Sipsey Creek</t>
  </si>
  <si>
    <t>Fluvial shiner</t>
  </si>
  <si>
    <t>Tibbee Creek</t>
  </si>
  <si>
    <t>Pugnose shiner</t>
  </si>
  <si>
    <t>Tombigbee River</t>
  </si>
  <si>
    <t>Ribbon shiner</t>
  </si>
  <si>
    <t>Town Creek</t>
  </si>
  <si>
    <t>Whitetail shiner</t>
  </si>
  <si>
    <t>Trim Cane Creek</t>
  </si>
  <si>
    <t>Longnose shiner</t>
  </si>
  <si>
    <t>Tuscumbia River</t>
  </si>
  <si>
    <t>Red shiner</t>
  </si>
  <si>
    <t>Twentymile Creek</t>
  </si>
  <si>
    <t>Tailight shiner</t>
  </si>
  <si>
    <t>Yellow Creek</t>
  </si>
  <si>
    <t>Coastal shiner</t>
  </si>
  <si>
    <t>Cedar Creek</t>
  </si>
  <si>
    <t>Cherryfin shiner</t>
  </si>
  <si>
    <t>Cypress Creek</t>
  </si>
  <si>
    <t>Rosyface shiner</t>
  </si>
  <si>
    <t>Weaver Creek</t>
  </si>
  <si>
    <t>Sabine shiner</t>
  </si>
  <si>
    <t>Boone Creek Watershed</t>
  </si>
  <si>
    <t>Silverband shiner</t>
  </si>
  <si>
    <t>Aberdeen Lake Spillway</t>
  </si>
  <si>
    <t>Flagfin shiner</t>
  </si>
  <si>
    <t>Columbus Lake Spillway</t>
  </si>
  <si>
    <t>Spotfin shiner</t>
  </si>
  <si>
    <t>Lock A Tenn Tom Spillway</t>
  </si>
  <si>
    <t>Siverstripe shiner</t>
  </si>
  <si>
    <t>Lock B Tenn Tom Spillway</t>
  </si>
  <si>
    <t>Weed shiner</t>
  </si>
  <si>
    <t>Lock C Tenn Tom Spillway</t>
  </si>
  <si>
    <t>Redfin shiner</t>
  </si>
  <si>
    <t>Lock D Tenn Tom Spillway</t>
  </si>
  <si>
    <t>Blacktail shiner</t>
  </si>
  <si>
    <t>Arkabutla Lake</t>
  </si>
  <si>
    <t>Mimic shiner</t>
  </si>
  <si>
    <t>Sardis Lake</t>
  </si>
  <si>
    <t>Bluenose shiner</t>
  </si>
  <si>
    <t>Enid Lake</t>
  </si>
  <si>
    <t>Steelcolor shiner</t>
  </si>
  <si>
    <t>Grenada Lake</t>
  </si>
  <si>
    <t>Channel shiner</t>
  </si>
  <si>
    <t>Alligator Lake Tallahatchie Co.</t>
  </si>
  <si>
    <t>Suckermouth minnow</t>
  </si>
  <si>
    <t>Bluff Spring Lake</t>
  </si>
  <si>
    <t>Southern redbelly dace</t>
  </si>
  <si>
    <t>Brady Lake</t>
  </si>
  <si>
    <t>Bluntnose minnow</t>
  </si>
  <si>
    <t>Brents Lake</t>
  </si>
  <si>
    <t>Fathead minnow</t>
  </si>
  <si>
    <t>Chestnut Lake</t>
  </si>
  <si>
    <t>Bullhead minnow</t>
  </si>
  <si>
    <t>Chewalla Lake</t>
  </si>
  <si>
    <t>Dixie chub</t>
  </si>
  <si>
    <t>Choctaw Lake</t>
  </si>
  <si>
    <t>Blacknose dace</t>
  </si>
  <si>
    <t>Cox Lake</t>
  </si>
  <si>
    <t>Creek chub</t>
  </si>
  <si>
    <t>Curry Lake</t>
  </si>
  <si>
    <t>Minnows</t>
  </si>
  <si>
    <t>Curtis Creek Lake</t>
  </si>
  <si>
    <t>Catostomids/suckers</t>
  </si>
  <si>
    <t>Cypress Lake</t>
  </si>
  <si>
    <t>Carpiodes</t>
  </si>
  <si>
    <t>Duck Pond</t>
  </si>
  <si>
    <t>River carpsucker</t>
  </si>
  <si>
    <t>Mount Olive Lake</t>
  </si>
  <si>
    <t>Quillback carpsucker</t>
  </si>
  <si>
    <t>No Name Lake</t>
  </si>
  <si>
    <t>Highfin carpsucker</t>
  </si>
  <si>
    <t>Organ Lake</t>
  </si>
  <si>
    <t>White sucker</t>
  </si>
  <si>
    <t>Otter Lake</t>
  </si>
  <si>
    <t>Southern blue sucker</t>
  </si>
  <si>
    <t>Pendergrast Lake</t>
  </si>
  <si>
    <t>Blue sucker</t>
  </si>
  <si>
    <t>Puskus Lake</t>
  </si>
  <si>
    <t>Creek chubsucker</t>
  </si>
  <si>
    <t>Texas Lake</t>
  </si>
  <si>
    <t>Lake chubsucker</t>
  </si>
  <si>
    <t>Tillatoba Lake</t>
  </si>
  <si>
    <t>Sharpfin chubsucker</t>
  </si>
  <si>
    <t>Wagner Lake</t>
  </si>
  <si>
    <t>Alabama hogsucker</t>
  </si>
  <si>
    <t>Walker Lake</t>
  </si>
  <si>
    <t>Northern hogsucker</t>
  </si>
  <si>
    <t>Walnut Lake Tallahatchie Co.</t>
  </si>
  <si>
    <t>Ictiobus</t>
  </si>
  <si>
    <t>White's Creek Lake</t>
  </si>
  <si>
    <t>Smallmouth buffalo</t>
  </si>
  <si>
    <t>Wood Duck Lake</t>
  </si>
  <si>
    <t>Bigmouth buffalo</t>
  </si>
  <si>
    <t>Bagley Lake</t>
  </si>
  <si>
    <t>Black buffalo</t>
  </si>
  <si>
    <t>Denmark Lake</t>
  </si>
  <si>
    <t>Spotted sucker</t>
  </si>
  <si>
    <t>Horseshoe Lake Yalobusha Co.</t>
  </si>
  <si>
    <t>Silver redhorse</t>
  </si>
  <si>
    <t>Irrigation Lake</t>
  </si>
  <si>
    <t>River redhorse</t>
  </si>
  <si>
    <t>Lake Patsy</t>
  </si>
  <si>
    <t>Black redhorse</t>
  </si>
  <si>
    <t>Olive Branch Amphitheater Pond</t>
  </si>
  <si>
    <t>Golden redhorse</t>
  </si>
  <si>
    <t>Olive Branch Lower Pond</t>
  </si>
  <si>
    <t>Shorthead redhorse</t>
  </si>
  <si>
    <t>Olive Branch Middle Pond</t>
  </si>
  <si>
    <t>Blacktail redhorse</t>
  </si>
  <si>
    <t>Pechahalee Lake</t>
  </si>
  <si>
    <t>Moxostoma</t>
  </si>
  <si>
    <t>Perkins Lake</t>
  </si>
  <si>
    <t>Suckers</t>
  </si>
  <si>
    <t>Ray Farm Lake</t>
  </si>
  <si>
    <t>Bullheads</t>
  </si>
  <si>
    <t>Snowden Grove Park</t>
  </si>
  <si>
    <t>Ictalurids</t>
  </si>
  <si>
    <t>Flower Lake</t>
  </si>
  <si>
    <t>Madtoms</t>
  </si>
  <si>
    <t>Horn Lake</t>
  </si>
  <si>
    <t>Blue catfish</t>
  </si>
  <si>
    <t>Tunica Cutoff</t>
  </si>
  <si>
    <t>Black bullhead</t>
  </si>
  <si>
    <t>Walnut Lake Tunica Co.</t>
  </si>
  <si>
    <t>Yellow bullhead</t>
  </si>
  <si>
    <t>Yellow Rabbit Lake</t>
  </si>
  <si>
    <t>Brown bullhead</t>
  </si>
  <si>
    <t>Buzzard Lake</t>
  </si>
  <si>
    <t>Channel catfish</t>
  </si>
  <si>
    <t>Wall Doxey State Park</t>
  </si>
  <si>
    <t>Black madtom</t>
  </si>
  <si>
    <t>Arkabutla Creek</t>
  </si>
  <si>
    <t>Tadpole madtom</t>
  </si>
  <si>
    <t>Batupan Bogue</t>
  </si>
  <si>
    <t>Least madtom</t>
  </si>
  <si>
    <t>Bobo Bayou</t>
  </si>
  <si>
    <t>Speckled madtom</t>
  </si>
  <si>
    <t>Bywy Creek</t>
  </si>
  <si>
    <t>Brindled madtom</t>
  </si>
  <si>
    <t>Cassidy Bayou</t>
  </si>
  <si>
    <t>Frecklebelly madtom</t>
  </si>
  <si>
    <t>Coldwater River</t>
  </si>
  <si>
    <t>Freckled madtom</t>
  </si>
  <si>
    <t>Hickahala Creek</t>
  </si>
  <si>
    <t>Brown madtom</t>
  </si>
  <si>
    <t>Lappatubby Creek</t>
  </si>
  <si>
    <t>Northern madtom</t>
  </si>
  <si>
    <t>Little Bogue Creek</t>
  </si>
  <si>
    <t>Flathead catfish</t>
  </si>
  <si>
    <t>Old Little Tallahatchie River</t>
  </si>
  <si>
    <t>Catfish</t>
  </si>
  <si>
    <t>Opossum Bayou</t>
  </si>
  <si>
    <t>Walking catfish</t>
  </si>
  <si>
    <t>Otoucalofa Creek</t>
  </si>
  <si>
    <t>Suckermouth catfish</t>
  </si>
  <si>
    <t>Pigeon Roost Creek</t>
  </si>
  <si>
    <t>Pirate perch</t>
  </si>
  <si>
    <t>Sabougla Creek</t>
  </si>
  <si>
    <t>Atlantic needlefish</t>
  </si>
  <si>
    <t>Skuna River</t>
  </si>
  <si>
    <t>Sheepshead minnow</t>
  </si>
  <si>
    <t>Tillatoba Creek</t>
  </si>
  <si>
    <t>Unidentified fundulus spp.</t>
  </si>
  <si>
    <t>Tippah Creek</t>
  </si>
  <si>
    <t>Northern studfish</t>
  </si>
  <si>
    <t>Tippah River</t>
  </si>
  <si>
    <t>Golden topminnow</t>
  </si>
  <si>
    <t>Tippo Bayou Tallahatchie Co.</t>
  </si>
  <si>
    <t>Gulf killifish</t>
  </si>
  <si>
    <t>Turkey Creek</t>
  </si>
  <si>
    <t>Starhead topminnow</t>
  </si>
  <si>
    <t>Wolf River Benton Co.</t>
  </si>
  <si>
    <t>Blair's starhead topminnow</t>
  </si>
  <si>
    <t>Yocona River</t>
  </si>
  <si>
    <t>Broadstripe topminnow</t>
  </si>
  <si>
    <t>Tippo Bayou Grenada Co.</t>
  </si>
  <si>
    <t>Striped killifish</t>
  </si>
  <si>
    <t>American Legion Lake</t>
  </si>
  <si>
    <t>Saltmarsh topminnow</t>
  </si>
  <si>
    <t>Ladybug Lake</t>
  </si>
  <si>
    <t>Blackstripe topminnow</t>
  </si>
  <si>
    <t>Mantee Lake</t>
  </si>
  <si>
    <t>Blackspotted topminnow</t>
  </si>
  <si>
    <t>Arkabutla Lake Spillway</t>
  </si>
  <si>
    <t>Southern studfish</t>
  </si>
  <si>
    <t>Enid Lake Spillway</t>
  </si>
  <si>
    <t>Pygmy killifish</t>
  </si>
  <si>
    <t>Grenada Lake Spillway</t>
  </si>
  <si>
    <t>Rainwater killifish</t>
  </si>
  <si>
    <t>Sardis Lower Lake</t>
  </si>
  <si>
    <t>Livebearers</t>
  </si>
  <si>
    <t>CR Nix WMA West Side 1</t>
  </si>
  <si>
    <t>Gambusia spp.</t>
  </si>
  <si>
    <t>CR Nix WMA West Side 2</t>
  </si>
  <si>
    <t>Least killifish</t>
  </si>
  <si>
    <t>CR Nix WMA West Side 3</t>
  </si>
  <si>
    <t>Sailfin molly</t>
  </si>
  <si>
    <t>CR Nix WMA North Side 1</t>
  </si>
  <si>
    <t>Silversides</t>
  </si>
  <si>
    <t>CR Nix WMA North Side 2</t>
  </si>
  <si>
    <t>Brook silverside</t>
  </si>
  <si>
    <t>CR Nix WMA South Side 1</t>
  </si>
  <si>
    <t>Inland silverside</t>
  </si>
  <si>
    <t>North Abutment Lake</t>
  </si>
  <si>
    <t>Mississippi silverside</t>
  </si>
  <si>
    <t>Lees Summit Park Lake</t>
  </si>
  <si>
    <t>Silversides &amp; topminnows</t>
  </si>
  <si>
    <t>Olive Branch Soccer Pond</t>
  </si>
  <si>
    <t>White bass</t>
  </si>
  <si>
    <t>McIvor Creek</t>
  </si>
  <si>
    <t>Yellow bass</t>
  </si>
  <si>
    <t>Enid River Run Pond</t>
  </si>
  <si>
    <t>Striped bass</t>
  </si>
  <si>
    <t>Hipps Hollow Lake Sardis</t>
  </si>
  <si>
    <t>Morone hybrid</t>
  </si>
  <si>
    <t>Mathews Break</t>
  </si>
  <si>
    <t>Temperate bass</t>
  </si>
  <si>
    <t>McIntyre Scatters</t>
  </si>
  <si>
    <t>Black bass</t>
  </si>
  <si>
    <t>RecCon Lake</t>
  </si>
  <si>
    <t>Centrarchid spp.</t>
  </si>
  <si>
    <t>Barge Lake</t>
  </si>
  <si>
    <t>Bream</t>
  </si>
  <si>
    <t>Beargarden Lake</t>
  </si>
  <si>
    <t>Shadow bass</t>
  </si>
  <si>
    <t>Coahoma County Lake</t>
  </si>
  <si>
    <t>Rock bass</t>
  </si>
  <si>
    <t>Fish Lake</t>
  </si>
  <si>
    <t>Flier</t>
  </si>
  <si>
    <t>Hillside NWR barpits</t>
  </si>
  <si>
    <t>Banded pigmy sunfish</t>
  </si>
  <si>
    <t>Lost Lake</t>
  </si>
  <si>
    <t>Bluespotted sunfish</t>
  </si>
  <si>
    <t>Morgan Brake</t>
  </si>
  <si>
    <t>Redbreast sunfish</t>
  </si>
  <si>
    <t xml:space="preserve">Providence ponds (4) </t>
  </si>
  <si>
    <t>Green sunfish</t>
  </si>
  <si>
    <t>Albermarle Lake</t>
  </si>
  <si>
    <t>Warmouth</t>
  </si>
  <si>
    <t>Alligator Lake Sharkey Co.</t>
  </si>
  <si>
    <t>Orangespotted sunfish</t>
  </si>
  <si>
    <t>Alligator Lake Warren Co.</t>
  </si>
  <si>
    <t>Bluegill</t>
  </si>
  <si>
    <t>Atchafalaya Bayou</t>
  </si>
  <si>
    <t>Dollar sunfish</t>
  </si>
  <si>
    <t>Bee Lake</t>
  </si>
  <si>
    <t>Longear sunfish</t>
  </si>
  <si>
    <t>Belzoni Old River Cutoff</t>
  </si>
  <si>
    <t>Redear sunfish</t>
  </si>
  <si>
    <t>Beulah Lake</t>
  </si>
  <si>
    <t>Red spotted sunfish</t>
  </si>
  <si>
    <t>Black Bayou cut-offs (3)</t>
  </si>
  <si>
    <t>Bantam sunfish</t>
  </si>
  <si>
    <t>Centennial Lake</t>
  </si>
  <si>
    <t>Smallmouth bass</t>
  </si>
  <si>
    <t>Chotard Lake</t>
  </si>
  <si>
    <t>Spotted bass</t>
  </si>
  <si>
    <t>Dawson Lake</t>
  </si>
  <si>
    <t>Largemouth bass</t>
  </si>
  <si>
    <t>DeSoto Lake</t>
  </si>
  <si>
    <t>Magnolia crappie</t>
  </si>
  <si>
    <t>Douglass Old River</t>
  </si>
  <si>
    <t>White crappie</t>
  </si>
  <si>
    <t>Dump Lake</t>
  </si>
  <si>
    <t>Black crappie</t>
  </si>
  <si>
    <t>Eagle Lake</t>
  </si>
  <si>
    <t>Lepomis hybrid</t>
  </si>
  <si>
    <t>Fivemile Lake</t>
  </si>
  <si>
    <t>BG x GS hybrid</t>
  </si>
  <si>
    <t>Fourmile Lake</t>
  </si>
  <si>
    <t>BG x RE hybrid</t>
  </si>
  <si>
    <t>Horseshoe Lake Holmes Co.</t>
  </si>
  <si>
    <t>Pomoxis spp.</t>
  </si>
  <si>
    <t>Lake Bolivar</t>
  </si>
  <si>
    <t>RE X WM Hybrid</t>
  </si>
  <si>
    <t>Lake Ferguson</t>
  </si>
  <si>
    <t>LE X GS Hybrid</t>
  </si>
  <si>
    <t>Lake George</t>
  </si>
  <si>
    <t>Percids</t>
  </si>
  <si>
    <t>Lake Henry</t>
  </si>
  <si>
    <t>Darters</t>
  </si>
  <si>
    <t>Lake Jackson</t>
  </si>
  <si>
    <t>Darters &amp; Logperch</t>
  </si>
  <si>
    <t>Lake Lee</t>
  </si>
  <si>
    <t>Crystal darter</t>
  </si>
  <si>
    <t>Lake Vermilon</t>
  </si>
  <si>
    <t>Naked sand darter</t>
  </si>
  <si>
    <t>Lake Washington</t>
  </si>
  <si>
    <t>Western sand darter</t>
  </si>
  <si>
    <t>Lake Whittington</t>
  </si>
  <si>
    <t>Scaly sand darter</t>
  </si>
  <si>
    <t>Little Eagle Lake</t>
  </si>
  <si>
    <t>Mud darter</t>
  </si>
  <si>
    <t>Little Round Lake</t>
  </si>
  <si>
    <t>Greenside darter</t>
  </si>
  <si>
    <t>Log Loader Lake</t>
  </si>
  <si>
    <t>Rainbow darter</t>
  </si>
  <si>
    <t>Long Lake</t>
  </si>
  <si>
    <t>Bluntnose darter</t>
  </si>
  <si>
    <t>McIntyre Lake</t>
  </si>
  <si>
    <t>Blackside snubnose darter</t>
  </si>
  <si>
    <t>Mellwood Old River</t>
  </si>
  <si>
    <t>Fantail darter</t>
  </si>
  <si>
    <t>Minter City Cutoff</t>
  </si>
  <si>
    <t>Swamp darter</t>
  </si>
  <si>
    <t>Moon Lake Coahoma Co.</t>
  </si>
  <si>
    <t>Slough darter</t>
  </si>
  <si>
    <t>Moon Lake Leflore Co.</t>
  </si>
  <si>
    <t>Harlequin darter</t>
  </si>
  <si>
    <t>Mossy Lake</t>
  </si>
  <si>
    <t>Stripedtail darter</t>
  </si>
  <si>
    <t>Palmyra Lake</t>
  </si>
  <si>
    <t>Johnny darter</t>
  </si>
  <si>
    <t>Roebuck Lake</t>
  </si>
  <si>
    <t>Gold stripe darter</t>
  </si>
  <si>
    <t>Shackleford Lake</t>
  </si>
  <si>
    <t>Cypress darter</t>
  </si>
  <si>
    <t>Sherman Chute</t>
  </si>
  <si>
    <t>Rock darter</t>
  </si>
  <si>
    <t>Sidon Cutoff</t>
  </si>
  <si>
    <t>Spottail darter</t>
  </si>
  <si>
    <t>Sixmile Lake</t>
  </si>
  <si>
    <t>Speckled darter</t>
  </si>
  <si>
    <t>Sky Lake</t>
  </si>
  <si>
    <t>Gulf darter</t>
  </si>
  <si>
    <t>Sorgham Mill Lake</t>
  </si>
  <si>
    <t>Redfin darter</t>
  </si>
  <si>
    <t>Stoval Old River</t>
  </si>
  <si>
    <t>Backwater darter</t>
  </si>
  <si>
    <t>Tchula Lake</t>
  </si>
  <si>
    <t>Yellow perch</t>
  </si>
  <si>
    <t>Tenmile Bayou</t>
  </si>
  <si>
    <t>Logperch</t>
  </si>
  <si>
    <t>Tennessee Shute</t>
  </si>
  <si>
    <t>Blackside darter</t>
  </si>
  <si>
    <t>Threemile Lake</t>
  </si>
  <si>
    <t>Blackbanded darter</t>
  </si>
  <si>
    <t>Townsend Lake</t>
  </si>
  <si>
    <t>Dusky darter</t>
  </si>
  <si>
    <t>Wasp Lake</t>
  </si>
  <si>
    <t>River darter</t>
  </si>
  <si>
    <t>Willow Lake Issaquena Co.</t>
  </si>
  <si>
    <t>Stargazing darter</t>
  </si>
  <si>
    <t>Wolf Lake</t>
  </si>
  <si>
    <t>Sauger</t>
  </si>
  <si>
    <t>Yazoo Lake</t>
  </si>
  <si>
    <t>Walleye</t>
  </si>
  <si>
    <t>Lake Charlie Capps</t>
  </si>
  <si>
    <t>Brighteye darter</t>
  </si>
  <si>
    <t>Brushy Lake</t>
  </si>
  <si>
    <t>Tombigbee darter</t>
  </si>
  <si>
    <t>Holmes County State Park English</t>
  </si>
  <si>
    <t>Blackfin darter</t>
  </si>
  <si>
    <t xml:space="preserve">Holmes County State Park Odum </t>
  </si>
  <si>
    <t>Yazoo darter</t>
  </si>
  <si>
    <t>Perry Martin Lake</t>
  </si>
  <si>
    <t>Bayou darter</t>
  </si>
  <si>
    <t>Abiaca Creek</t>
  </si>
  <si>
    <t>Redline darter</t>
  </si>
  <si>
    <t>Apookta Creek</t>
  </si>
  <si>
    <t>Tennesee snubnose darter</t>
  </si>
  <si>
    <t>Bear Creek Humphreys Co.</t>
  </si>
  <si>
    <t>Bandfin darter</t>
  </si>
  <si>
    <t>Big Cypress Creek</t>
  </si>
  <si>
    <t>Pearl darter</t>
  </si>
  <si>
    <t>Big Sand Creek</t>
  </si>
  <si>
    <t>Mobile logperch</t>
  </si>
  <si>
    <t>Big Sunflower River</t>
  </si>
  <si>
    <t>Gulf logperch</t>
  </si>
  <si>
    <t>Black Bayou</t>
  </si>
  <si>
    <t>Gilt darter</t>
  </si>
  <si>
    <t>Black Creek Holmes Co.</t>
  </si>
  <si>
    <t>Freckled darter</t>
  </si>
  <si>
    <t>Bogue Phalia</t>
  </si>
  <si>
    <t>Saddleback darter</t>
  </si>
  <si>
    <t>Deer Creek</t>
  </si>
  <si>
    <t>Slenderhead darter</t>
  </si>
  <si>
    <t>Fannegusha Creek</t>
  </si>
  <si>
    <t>Sheepshead</t>
  </si>
  <si>
    <t>Hushpuckena River</t>
  </si>
  <si>
    <t>Freshwater drum</t>
  </si>
  <si>
    <t>Quiver River</t>
  </si>
  <si>
    <t>Oscar</t>
  </si>
  <si>
    <t>Seneasha Creek</t>
  </si>
  <si>
    <t>Rio grande cichlid</t>
  </si>
  <si>
    <t>Steele Bayou</t>
  </si>
  <si>
    <t>Blue tilapia</t>
  </si>
  <si>
    <t>Yazoo River</t>
  </si>
  <si>
    <t>Mozambique tilapia</t>
  </si>
  <si>
    <t>Zilpha Creek</t>
  </si>
  <si>
    <t>Striped mullet</t>
  </si>
  <si>
    <t>Cypress Bayou</t>
  </si>
  <si>
    <t>Tambaqui</t>
  </si>
  <si>
    <t>Little Sunflower River</t>
  </si>
  <si>
    <t>Pirapitinga</t>
  </si>
  <si>
    <t>Mississippi River Chute 66</t>
  </si>
  <si>
    <t>Nile tilapia</t>
  </si>
  <si>
    <t>Parker Bayou</t>
  </si>
  <si>
    <t>Fat sleeper</t>
  </si>
  <si>
    <t>Sunflower River Diversion Canal</t>
  </si>
  <si>
    <t>Spinycheek sleeper</t>
  </si>
  <si>
    <t>Archusa Creek Water Park</t>
  </si>
  <si>
    <t>Naked goby</t>
  </si>
  <si>
    <t>Okatibbee Reservoir</t>
  </si>
  <si>
    <t>Code goby</t>
  </si>
  <si>
    <t>Ross Barnett Reservoir</t>
  </si>
  <si>
    <t>Banded sculpin</t>
  </si>
  <si>
    <t>Adamac Lake</t>
  </si>
  <si>
    <t>Bay whiff</t>
  </si>
  <si>
    <t>Beaver Lake Smith Co.</t>
  </si>
  <si>
    <t>Hogchocker</t>
  </si>
  <si>
    <t>Big Creek Water Park</t>
  </si>
  <si>
    <t>Anything</t>
  </si>
  <si>
    <t>Bonita Reservoir</t>
  </si>
  <si>
    <t>Dry Creek Water Park</t>
  </si>
  <si>
    <t>Greentree Reservoir</t>
  </si>
  <si>
    <t>Long Creek Reservoir</t>
  </si>
  <si>
    <t>Marathon Lake</t>
  </si>
  <si>
    <t>Pelahatchie Lake</t>
  </si>
  <si>
    <t>Tishkill Lake</t>
  </si>
  <si>
    <t>Turkey Creek Water Park</t>
  </si>
  <si>
    <t>Dunn's Falls Water Park</t>
  </si>
  <si>
    <t>McMillan Park Pond</t>
  </si>
  <si>
    <t>Shongelo Lake</t>
  </si>
  <si>
    <t>Willow Lake Leake Co.</t>
  </si>
  <si>
    <t>Burnside Lake</t>
  </si>
  <si>
    <t>Crystal Lake</t>
  </si>
  <si>
    <t>Kemper County Lake</t>
  </si>
  <si>
    <t>Lake Claude Bennett</t>
  </si>
  <si>
    <t>Lake Dockery</t>
  </si>
  <si>
    <t>Lake Ross Barnett</t>
  </si>
  <si>
    <t>Lake Tom Bailey</t>
  </si>
  <si>
    <t>Neshoba County Lake</t>
  </si>
  <si>
    <t>Simpson County Lake</t>
  </si>
  <si>
    <t>Clarkco State Park Lake</t>
  </si>
  <si>
    <t>Golden Memorial State Park Lake</t>
  </si>
  <si>
    <t>Mayes Lake</t>
  </si>
  <si>
    <t>Roosevelt State Park</t>
  </si>
  <si>
    <t>Bakers Creek</t>
  </si>
  <si>
    <t>Bear Creek Madison Co.</t>
  </si>
  <si>
    <t>Bogue Chitto Madison Co.</t>
  </si>
  <si>
    <t>Bogue Chitto Neshoba Co.</t>
  </si>
  <si>
    <t>Chunky Creek</t>
  </si>
  <si>
    <t>Chunky River</t>
  </si>
  <si>
    <t>Coffee Bogue</t>
  </si>
  <si>
    <t>Doaks Creek</t>
  </si>
  <si>
    <t>Fourteen Mile Creek</t>
  </si>
  <si>
    <t>Kentawka Canal</t>
  </si>
  <si>
    <t>Long Creek</t>
  </si>
  <si>
    <t>Okatibbee Creek</t>
  </si>
  <si>
    <t>Pawticfaw Creek</t>
  </si>
  <si>
    <t>Pelahatchie Creek</t>
  </si>
  <si>
    <t>Ponta Creek</t>
  </si>
  <si>
    <t>Potterchitto Creek</t>
  </si>
  <si>
    <t>Richland Creek</t>
  </si>
  <si>
    <t>Shubuta Creek</t>
  </si>
  <si>
    <t>Soinlovey Creek</t>
  </si>
  <si>
    <t>Sowashee Creek</t>
  </si>
  <si>
    <t>Steen Creek</t>
  </si>
  <si>
    <t>Sucarnoochee Creek</t>
  </si>
  <si>
    <t>Tallasher Creek</t>
  </si>
  <si>
    <t>Tuscolameta Creek</t>
  </si>
  <si>
    <t>West Tallahala Creek</t>
  </si>
  <si>
    <t>Rhaley's Lake</t>
  </si>
  <si>
    <t>Ross Barnett Spillway</t>
  </si>
  <si>
    <t>Lake Okhissa - Opens 2006</t>
  </si>
  <si>
    <t>Cammack Young Lake</t>
  </si>
  <si>
    <t>Gin Lake</t>
  </si>
  <si>
    <t>Hamilton Lake</t>
  </si>
  <si>
    <t>Lake Chautauqua</t>
  </si>
  <si>
    <t>Lake Hazle</t>
  </si>
  <si>
    <t>Brookhaven Fishing Pond</t>
  </si>
  <si>
    <t>Clear Springs Lake</t>
  </si>
  <si>
    <t>Pipe Lake</t>
  </si>
  <si>
    <t>Burns Lake</t>
  </si>
  <si>
    <t>Dear Park Dead River</t>
  </si>
  <si>
    <t>Lake Mary</t>
  </si>
  <si>
    <t>Old River Natchez</t>
  </si>
  <si>
    <t>Lake Bill Waller</t>
  </si>
  <si>
    <t>Lake Calling Panther - Opens 2005</t>
  </si>
  <si>
    <t>Lake Columbia</t>
  </si>
  <si>
    <t>Lake Mary Crawford</t>
  </si>
  <si>
    <t>Lake Walthall</t>
  </si>
  <si>
    <t>Lake Lincoln</t>
  </si>
  <si>
    <t>Lake Tangipahoa</t>
  </si>
  <si>
    <t>Natchez State Park</t>
  </si>
  <si>
    <t>Bahala Creek</t>
  </si>
  <si>
    <t>Bayou Pierre</t>
  </si>
  <si>
    <t>Beaver Creek</t>
  </si>
  <si>
    <t>Bogue Chitto River</t>
  </si>
  <si>
    <t>Buffalo River</t>
  </si>
  <si>
    <t>Coles Creek</t>
  </si>
  <si>
    <t>Copiah Creek</t>
  </si>
  <si>
    <t>East Fork Amite River</t>
  </si>
  <si>
    <t>Fair River</t>
  </si>
  <si>
    <t>Holiday Creek</t>
  </si>
  <si>
    <t>Homochitto River</t>
  </si>
  <si>
    <t>Little Bayou Pierre</t>
  </si>
  <si>
    <t>Lower Little Creek</t>
  </si>
  <si>
    <t>Magees Creek</t>
  </si>
  <si>
    <t>McCall Creek</t>
  </si>
  <si>
    <t>Middle Fork Homochitto River</t>
  </si>
  <si>
    <t>North Fork Coles Creek</t>
  </si>
  <si>
    <t>Silver Creek</t>
  </si>
  <si>
    <t>South Fork Coles Creek</t>
  </si>
  <si>
    <t>St. Catherine Creek</t>
  </si>
  <si>
    <t>Tangipahoa River</t>
  </si>
  <si>
    <t>Topisaw Creek</t>
  </si>
  <si>
    <t>Upper Little Creek</t>
  </si>
  <si>
    <t>West Fork Amite River</t>
  </si>
  <si>
    <t>White Sand Creek</t>
  </si>
  <si>
    <t>Hollie Sojouner Lake</t>
  </si>
  <si>
    <t>Flint Creek Water Park</t>
  </si>
  <si>
    <t>Little Black Creek Water Park</t>
  </si>
  <si>
    <t>Pascagoula Marsh</t>
  </si>
  <si>
    <t>Airey Lake</t>
  </si>
  <si>
    <t>Barnes Lake</t>
  </si>
  <si>
    <t>Maynor Creek Water Park</t>
  </si>
  <si>
    <t>Sportsman Lake</t>
  </si>
  <si>
    <t>Turkey Fork Reservoir</t>
  </si>
  <si>
    <t>Ashe Lake</t>
  </si>
  <si>
    <t>Fork River Lake</t>
  </si>
  <si>
    <t>Forrest County Lake</t>
  </si>
  <si>
    <t>Fulton Lake</t>
  </si>
  <si>
    <t>Leaf Pond</t>
  </si>
  <si>
    <t>P.O.W. Lake</t>
  </si>
  <si>
    <t>Poplar Springs Lake</t>
  </si>
  <si>
    <t>Ware Lake</t>
  </si>
  <si>
    <t>Big Lake</t>
  </si>
  <si>
    <t>Bilbo Basin</t>
  </si>
  <si>
    <t>Boneyard Lake</t>
  </si>
  <si>
    <t>Cane Lake</t>
  </si>
  <si>
    <t>Cochran Dead River</t>
  </si>
  <si>
    <t>Dad's Lake</t>
  </si>
  <si>
    <t>Davis Dead River</t>
  </si>
  <si>
    <t>Dead River</t>
  </si>
  <si>
    <t>Fletcher Lake</t>
  </si>
  <si>
    <t>Goff Dead River</t>
  </si>
  <si>
    <t>Graham Lake</t>
  </si>
  <si>
    <t>Hackney Lake</t>
  </si>
  <si>
    <t>Harrison Lake</t>
  </si>
  <si>
    <t>Horseshoe Lake George Co.</t>
  </si>
  <si>
    <t>Horseshoe Lake Pearl River Co.</t>
  </si>
  <si>
    <t>Hutson Lake</t>
  </si>
  <si>
    <t>Lingum Lake</t>
  </si>
  <si>
    <t>Lower Rines Lake</t>
  </si>
  <si>
    <t>Luther Lake Gibson Landing</t>
  </si>
  <si>
    <t>McCrea Dead River</t>
  </si>
  <si>
    <t>Moody Lake</t>
  </si>
  <si>
    <t>Paiges Bayou</t>
  </si>
  <si>
    <t>Parker's Lake</t>
  </si>
  <si>
    <t>Peterson Lake</t>
  </si>
  <si>
    <t>Pierce Lake</t>
  </si>
  <si>
    <t>Poticaw Bayou</t>
  </si>
  <si>
    <t>Rotten Bayou</t>
  </si>
  <si>
    <t>Upper Rines Lake</t>
  </si>
  <si>
    <t>Wells Lake</t>
  </si>
  <si>
    <t>Woodard Dead Lake</t>
  </si>
  <si>
    <t>Lake Bogue Homa</t>
  </si>
  <si>
    <t>Lake Jeff Davis</t>
  </si>
  <si>
    <t>Lake Mike Conner</t>
  </si>
  <si>
    <t>Lake Perry</t>
  </si>
  <si>
    <t>Lakeland Park</t>
  </si>
  <si>
    <t>Geiger Lake</t>
  </si>
  <si>
    <t>Big Creek Greene Co.</t>
  </si>
  <si>
    <t>Big Creek Jackson Co.</t>
  </si>
  <si>
    <t>Big Creek Wayne Co.</t>
  </si>
  <si>
    <t>Biloxi River</t>
  </si>
  <si>
    <t>Black Creek</t>
  </si>
  <si>
    <t>Bluff Creek</t>
  </si>
  <si>
    <t>Bouie River</t>
  </si>
  <si>
    <t>Catahoula Creek</t>
  </si>
  <si>
    <t>East Hobolochitto Creek</t>
  </si>
  <si>
    <t>Escatawpa River</t>
  </si>
  <si>
    <t>Gaines Creek</t>
  </si>
  <si>
    <t>Hobolochitto Creek</t>
  </si>
  <si>
    <t>Jourdan River</t>
  </si>
  <si>
    <t>Pascagoula River</t>
  </si>
  <si>
    <t>Red Creek</t>
  </si>
  <si>
    <t>Tchoutacabouffa River</t>
  </si>
  <si>
    <t>Thompson Creek</t>
  </si>
  <si>
    <t>Tuxachanie Creek</t>
  </si>
  <si>
    <t>West Hobolochitto Creek</t>
  </si>
  <si>
    <t>Wolf River Hancock Co.</t>
  </si>
  <si>
    <t>Bayou Bernard</t>
  </si>
  <si>
    <t>Bayou Caddy</t>
  </si>
  <si>
    <t>Bayou Cowan</t>
  </si>
  <si>
    <t>Bayou Heron</t>
  </si>
  <si>
    <t>Bayou Lacroix</t>
  </si>
  <si>
    <t>Campbell Bayou</t>
  </si>
  <si>
    <t>Crooked Bayou</t>
  </si>
  <si>
    <t>Davis Bayou</t>
  </si>
  <si>
    <t>Fort Bayou</t>
  </si>
  <si>
    <t>Fritz Creek</t>
  </si>
  <si>
    <t>Little Black Creek</t>
  </si>
  <si>
    <t>McLeod Creek</t>
  </si>
  <si>
    <t>Old Fort Bayou</t>
  </si>
  <si>
    <t xml:space="preserve">Old Pearl River </t>
  </si>
  <si>
    <t>Caswell Lake</t>
  </si>
  <si>
    <t>Whitehead Lake (Jackson Cty)</t>
  </si>
  <si>
    <t>Duncan Lake (Forrest Cty)</t>
  </si>
  <si>
    <t>Little Tallahatchie River</t>
  </si>
  <si>
    <t>Lobutcha Creek</t>
  </si>
  <si>
    <t>Hays Creek</t>
  </si>
  <si>
    <t>Tallahatchie River</t>
  </si>
  <si>
    <t>Yalobusha River</t>
  </si>
  <si>
    <t>Yazoo Pass</t>
  </si>
  <si>
    <t>Big Black River</t>
  </si>
  <si>
    <t>Mississippi River</t>
  </si>
  <si>
    <t>Tallahaga Creek</t>
  </si>
  <si>
    <t xml:space="preserve">Yockanookany River </t>
  </si>
  <si>
    <t>Strong River</t>
  </si>
  <si>
    <t>White Oak Creek</t>
  </si>
  <si>
    <t>Pearl River</t>
  </si>
  <si>
    <t>Big Creek Jones Co.</t>
  </si>
  <si>
    <t>Bogue Homa Creek</t>
  </si>
  <si>
    <t>Bouie Creek</t>
  </si>
  <si>
    <t>Buckatunna Creek</t>
  </si>
  <si>
    <t>Chickasawhay River</t>
  </si>
  <si>
    <t>Leaf River</t>
  </si>
  <si>
    <t>Okatoma Creek</t>
  </si>
  <si>
    <t>Tallahala Creek</t>
  </si>
  <si>
    <t>Tallahoma Creek</t>
  </si>
  <si>
    <t>Oakohay Creek</t>
  </si>
  <si>
    <t xml:space="preserve">Code </t>
  </si>
  <si>
    <t>Floating Gillnet</t>
  </si>
  <si>
    <t>Sinking Gillnet</t>
  </si>
  <si>
    <t>Trotline</t>
  </si>
  <si>
    <t>Trap Net</t>
  </si>
  <si>
    <t>Hoop Net</t>
  </si>
  <si>
    <t>Mesh Size (in.)</t>
  </si>
  <si>
    <t>NA</t>
  </si>
  <si>
    <t>Lead Net</t>
  </si>
  <si>
    <t>55-90mm</t>
  </si>
  <si>
    <t>torn net</t>
  </si>
  <si>
    <t>net spun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</si>
</sst>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Font="1" applyProtection="1">
      <protection hidden="1"/>
    </xf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428625</xdr:colOff>
          <xdr:row>3</xdr:row>
          <xdr:rowOff>85725</xdr:rowOff>
        </xdr:from>
        <xdr:to>
          <xdr:col>23</xdr:col>
          <xdr:colOff>466725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Data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466725</xdr:colOff>
          <xdr:row>7</xdr:row>
          <xdr:rowOff>66675</xdr:rowOff>
        </xdr:from>
        <xdr:to>
          <xdr:col>23</xdr:col>
          <xdr:colOff>409575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591"/>
  <sheetViews>
    <sheetView tabSelected="1" topLeftCell="N1" workbookViewId="0">
      <pane ySplit="2" topLeftCell="A522" activePane="bottomLeft" state="frozen"/>
      <selection pane="bottomLeft" activeCell="U519" sqref="U519"/>
    </sheetView>
  </sheetViews>
  <sheetFormatPr defaultRowHeight="15" x14ac:dyDescent="0.25"/>
  <cols>
    <col min="1" max="1" width="11.140625" style="12" bestFit="1" customWidth="1"/>
    <col min="2" max="2" width="13.5703125" style="12" bestFit="1" customWidth="1"/>
    <col min="3" max="3" width="8" style="12" bestFit="1" customWidth="1"/>
    <col min="4" max="5" width="13.42578125" style="12" bestFit="1" customWidth="1"/>
    <col min="6" max="6" width="7.5703125" style="12" bestFit="1" customWidth="1"/>
    <col min="7" max="7" width="12.140625" style="12" bestFit="1" customWidth="1"/>
    <col min="8" max="8" width="6.85546875" style="12" bestFit="1" customWidth="1"/>
    <col min="9" max="10" width="16" style="12" bestFit="1" customWidth="1"/>
    <col min="11" max="11" width="13.42578125" style="12" bestFit="1" customWidth="1"/>
    <col min="12" max="12" width="11.7109375" style="12" bestFit="1" customWidth="1"/>
    <col min="13" max="13" width="12.28515625" style="12" bestFit="1" customWidth="1"/>
    <col min="14" max="14" width="11.7109375" style="12" bestFit="1" customWidth="1"/>
    <col min="15" max="15" width="9.28515625" style="12" bestFit="1" customWidth="1"/>
    <col min="16" max="17" width="9.140625" style="12" bestFit="1" customWidth="1"/>
    <col min="18" max="18" width="6.42578125" style="12" bestFit="1" customWidth="1"/>
    <col min="19" max="19" width="12.140625" style="12" bestFit="1" customWidth="1"/>
    <col min="20" max="20" width="7.5703125" style="12" bestFit="1" customWidth="1"/>
    <col min="21" max="21" width="7.140625" style="12" bestFit="1" customWidth="1"/>
    <col min="22" max="22" width="12.85546875" style="12" bestFit="1" customWidth="1"/>
    <col min="23" max="23" width="12.85546875" bestFit="1" customWidth="1"/>
    <col min="27" max="27" width="8.5703125" customWidth="1"/>
    <col min="28" max="28" width="9" customWidth="1"/>
  </cols>
  <sheetData>
    <row r="1" spans="1:39" ht="14.45" x14ac:dyDescent="0.35">
      <c r="A1" s="7" t="s">
        <v>0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</v>
      </c>
      <c r="G1" s="7" t="s">
        <v>2</v>
      </c>
      <c r="H1" s="7" t="s">
        <v>3</v>
      </c>
      <c r="I1" s="7" t="s">
        <v>29</v>
      </c>
      <c r="J1" s="7" t="s">
        <v>30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4</v>
      </c>
      <c r="P1" s="7" t="s">
        <v>5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8"/>
      <c r="X1" s="8"/>
      <c r="Y1" s="8"/>
      <c r="Z1" s="9" t="str">
        <f>TEXT(B3,"mmddyyyy")</f>
        <v>10052015</v>
      </c>
      <c r="AA1" s="9" t="str">
        <f>VLOOKUP(A3,Lists!A3:B500,2,0)</f>
        <v>Lake Washington</v>
      </c>
      <c r="AB1" s="9" t="str">
        <f>SUBSTITUTE(AA1, " ", "")</f>
        <v>LakeWashington</v>
      </c>
      <c r="AC1" s="9"/>
      <c r="AD1" s="9"/>
      <c r="AE1" s="9" t="str">
        <f>AB1&amp;Z1&amp;"_pg3"</f>
        <v>LakeWashington10052015_pg3</v>
      </c>
      <c r="AF1" s="10"/>
      <c r="AG1" s="8"/>
      <c r="AH1" s="8"/>
      <c r="AI1" s="8"/>
      <c r="AJ1" s="8"/>
      <c r="AK1" s="8"/>
      <c r="AL1" s="8"/>
      <c r="AM1" s="8"/>
    </row>
    <row r="2" spans="1:39" x14ac:dyDescent="0.25">
      <c r="A2" s="7"/>
      <c r="B2" s="7" t="s">
        <v>27</v>
      </c>
      <c r="C2" s="7"/>
      <c r="D2" s="7" t="s">
        <v>27</v>
      </c>
      <c r="E2" s="7"/>
      <c r="F2" s="7"/>
      <c r="G2" s="7" t="s">
        <v>28</v>
      </c>
      <c r="H2" s="7"/>
      <c r="I2" s="7" t="s">
        <v>26</v>
      </c>
      <c r="J2" s="7" t="s">
        <v>26</v>
      </c>
      <c r="K2" s="7" t="s">
        <v>24</v>
      </c>
      <c r="L2" s="7" t="s">
        <v>22</v>
      </c>
      <c r="M2" s="7"/>
      <c r="N2" s="7"/>
      <c r="O2" s="7"/>
      <c r="P2" s="7" t="s">
        <v>25</v>
      </c>
      <c r="Q2" s="7"/>
      <c r="R2" s="7" t="s">
        <v>23</v>
      </c>
      <c r="S2" s="7" t="s">
        <v>22</v>
      </c>
      <c r="T2" s="7"/>
      <c r="U2" s="7" t="s">
        <v>21</v>
      </c>
      <c r="V2" s="7" t="s">
        <v>20</v>
      </c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</row>
    <row r="3" spans="1:39" ht="14.45" x14ac:dyDescent="0.35">
      <c r="A3" s="12">
        <v>336</v>
      </c>
      <c r="B3" s="11">
        <v>42282</v>
      </c>
      <c r="D3" s="11">
        <v>42283</v>
      </c>
      <c r="H3" s="12">
        <v>1</v>
      </c>
      <c r="I3" s="12">
        <v>33.03548</v>
      </c>
      <c r="J3" s="12">
        <v>91.041560000000004</v>
      </c>
      <c r="K3" s="12">
        <v>67.599999999999994</v>
      </c>
      <c r="O3" s="12">
        <v>3</v>
      </c>
      <c r="Q3" s="12">
        <v>311</v>
      </c>
      <c r="R3" s="12">
        <v>114</v>
      </c>
      <c r="S3" s="12">
        <v>11</v>
      </c>
      <c r="T3" s="12">
        <v>1</v>
      </c>
    </row>
    <row r="4" spans="1:39" ht="14.45" x14ac:dyDescent="0.35">
      <c r="A4" s="12">
        <v>336</v>
      </c>
      <c r="B4" s="11">
        <v>42282</v>
      </c>
      <c r="D4" s="11">
        <v>42283</v>
      </c>
      <c r="H4" s="12">
        <v>1</v>
      </c>
      <c r="I4" s="12">
        <v>33.03548</v>
      </c>
      <c r="J4" s="12">
        <v>91.041560000000004</v>
      </c>
      <c r="K4" s="12">
        <v>67.599999999999994</v>
      </c>
      <c r="O4" s="12">
        <v>3</v>
      </c>
      <c r="Q4" s="12">
        <v>312</v>
      </c>
      <c r="T4" s="12">
        <v>9</v>
      </c>
      <c r="V4" s="12" t="s">
        <v>849</v>
      </c>
    </row>
    <row r="5" spans="1:39" ht="14.45" x14ac:dyDescent="0.35">
      <c r="A5" s="12">
        <v>336</v>
      </c>
      <c r="B5" s="11">
        <v>42282</v>
      </c>
      <c r="D5" s="11">
        <v>42283</v>
      </c>
      <c r="H5" s="12">
        <v>1</v>
      </c>
      <c r="I5" s="12">
        <v>33.03548</v>
      </c>
      <c r="J5" s="12">
        <v>91.041560000000004</v>
      </c>
      <c r="K5" s="12">
        <v>67.599999999999994</v>
      </c>
      <c r="O5" s="12">
        <v>3</v>
      </c>
      <c r="Q5" s="12">
        <v>1397</v>
      </c>
      <c r="R5" s="12">
        <v>82</v>
      </c>
      <c r="S5" s="12">
        <v>8</v>
      </c>
      <c r="T5" s="12">
        <v>1</v>
      </c>
    </row>
    <row r="6" spans="1:39" ht="14.45" x14ac:dyDescent="0.35">
      <c r="A6" s="12">
        <v>336</v>
      </c>
      <c r="B6" s="11">
        <v>42282</v>
      </c>
      <c r="D6" s="11">
        <v>42283</v>
      </c>
      <c r="H6" s="12">
        <v>1</v>
      </c>
      <c r="I6" s="12">
        <v>33.03548</v>
      </c>
      <c r="J6" s="12">
        <v>91.041560000000004</v>
      </c>
      <c r="K6" s="12">
        <v>67.599999999999994</v>
      </c>
      <c r="O6" s="12">
        <v>3</v>
      </c>
      <c r="Q6" s="12">
        <v>1306</v>
      </c>
      <c r="R6" s="12">
        <v>135</v>
      </c>
      <c r="S6" s="12">
        <v>13</v>
      </c>
      <c r="T6" s="12">
        <v>1</v>
      </c>
    </row>
    <row r="7" spans="1:39" ht="14.45" x14ac:dyDescent="0.35">
      <c r="A7" s="12">
        <v>336</v>
      </c>
      <c r="B7" s="11">
        <v>42282</v>
      </c>
      <c r="D7" s="11">
        <v>42283</v>
      </c>
      <c r="H7" s="12">
        <v>1</v>
      </c>
      <c r="I7" s="12">
        <v>33.03548</v>
      </c>
      <c r="J7" s="12">
        <v>91.041560000000004</v>
      </c>
      <c r="K7" s="12">
        <v>67.599999999999994</v>
      </c>
      <c r="O7" s="12">
        <v>3</v>
      </c>
      <c r="Q7" s="12">
        <v>1410</v>
      </c>
      <c r="R7" s="12">
        <v>255</v>
      </c>
      <c r="S7" s="12">
        <v>25</v>
      </c>
      <c r="T7" s="12">
        <v>1</v>
      </c>
    </row>
    <row r="8" spans="1:39" ht="14.45" x14ac:dyDescent="0.35">
      <c r="A8" s="12">
        <v>336</v>
      </c>
      <c r="B8" s="11">
        <v>42282</v>
      </c>
      <c r="D8" s="11">
        <v>42283</v>
      </c>
      <c r="H8" s="12">
        <v>1</v>
      </c>
      <c r="I8" s="12">
        <v>33.03548</v>
      </c>
      <c r="J8" s="12">
        <v>91.041560000000004</v>
      </c>
      <c r="K8" s="12">
        <v>67.599999999999994</v>
      </c>
      <c r="O8" s="12">
        <v>3</v>
      </c>
      <c r="Q8" s="12">
        <v>1410</v>
      </c>
      <c r="R8" s="12">
        <v>289</v>
      </c>
      <c r="S8" s="12">
        <v>28</v>
      </c>
      <c r="T8" s="12">
        <v>1</v>
      </c>
    </row>
    <row r="9" spans="1:39" ht="14.45" x14ac:dyDescent="0.35">
      <c r="A9" s="12">
        <v>336</v>
      </c>
      <c r="B9" s="11">
        <v>42282</v>
      </c>
      <c r="D9" s="11">
        <v>42283</v>
      </c>
      <c r="H9" s="12">
        <v>1</v>
      </c>
      <c r="I9" s="12">
        <v>33.03548</v>
      </c>
      <c r="J9" s="12">
        <v>91.041560000000004</v>
      </c>
      <c r="K9" s="12">
        <v>67.599999999999994</v>
      </c>
      <c r="O9" s="12">
        <v>3</v>
      </c>
      <c r="Q9" s="12">
        <v>1410</v>
      </c>
      <c r="R9" s="12">
        <v>255</v>
      </c>
      <c r="S9" s="12">
        <v>25</v>
      </c>
      <c r="T9" s="12">
        <v>1</v>
      </c>
    </row>
    <row r="10" spans="1:39" ht="14.45" x14ac:dyDescent="0.35">
      <c r="A10" s="12">
        <v>336</v>
      </c>
      <c r="B10" s="11">
        <v>42282</v>
      </c>
      <c r="D10" s="11">
        <v>42283</v>
      </c>
      <c r="H10" s="12">
        <v>1</v>
      </c>
      <c r="I10" s="12">
        <v>33.03548</v>
      </c>
      <c r="J10" s="12">
        <v>91.041560000000004</v>
      </c>
      <c r="K10" s="12">
        <v>67.599999999999994</v>
      </c>
      <c r="O10" s="12">
        <v>3</v>
      </c>
      <c r="Q10" s="12">
        <v>1409</v>
      </c>
      <c r="R10" s="12">
        <v>256</v>
      </c>
      <c r="S10" s="12">
        <v>25</v>
      </c>
      <c r="T10" s="12">
        <v>1</v>
      </c>
    </row>
    <row r="11" spans="1:39" ht="14.45" x14ac:dyDescent="0.35">
      <c r="A11" s="12">
        <v>336</v>
      </c>
      <c r="B11" s="11">
        <v>42282</v>
      </c>
      <c r="D11" s="11">
        <v>42283</v>
      </c>
      <c r="H11" s="12">
        <v>1</v>
      </c>
      <c r="I11" s="12">
        <v>33.03548</v>
      </c>
      <c r="J11" s="12">
        <v>91.041560000000004</v>
      </c>
      <c r="K11" s="12">
        <v>67.599999999999994</v>
      </c>
      <c r="O11" s="12">
        <v>3</v>
      </c>
      <c r="Q11" s="12">
        <v>1410</v>
      </c>
      <c r="R11" s="12">
        <v>334</v>
      </c>
      <c r="S11" s="12">
        <v>33</v>
      </c>
      <c r="T11" s="12">
        <v>1</v>
      </c>
    </row>
    <row r="12" spans="1:39" ht="14.45" x14ac:dyDescent="0.35">
      <c r="A12" s="12">
        <v>336</v>
      </c>
      <c r="B12" s="11">
        <v>42282</v>
      </c>
      <c r="D12" s="11">
        <v>42283</v>
      </c>
      <c r="H12" s="12">
        <v>1</v>
      </c>
      <c r="I12" s="12">
        <v>33.03548</v>
      </c>
      <c r="J12" s="12">
        <v>91.041560000000004</v>
      </c>
      <c r="K12" s="12">
        <v>67.599999999999994</v>
      </c>
      <c r="O12" s="12">
        <v>3</v>
      </c>
      <c r="Q12" s="12">
        <v>1409</v>
      </c>
      <c r="R12" s="12">
        <v>137</v>
      </c>
      <c r="S12" s="12">
        <v>13</v>
      </c>
      <c r="T12" s="12">
        <v>1</v>
      </c>
    </row>
    <row r="13" spans="1:39" ht="14.45" x14ac:dyDescent="0.35">
      <c r="A13" s="12">
        <v>336</v>
      </c>
      <c r="B13" s="11">
        <v>42282</v>
      </c>
      <c r="D13" s="11">
        <v>42283</v>
      </c>
      <c r="H13" s="12">
        <v>1</v>
      </c>
      <c r="I13" s="12">
        <v>33.03548</v>
      </c>
      <c r="J13" s="12">
        <v>91.041560000000004</v>
      </c>
      <c r="K13" s="12">
        <v>67.599999999999994</v>
      </c>
      <c r="O13" s="12">
        <v>3</v>
      </c>
      <c r="Q13" s="12">
        <v>1410</v>
      </c>
      <c r="R13" s="12">
        <v>227</v>
      </c>
      <c r="S13" s="12">
        <v>22</v>
      </c>
      <c r="T13" s="12">
        <v>1</v>
      </c>
    </row>
    <row r="14" spans="1:39" ht="14.45" x14ac:dyDescent="0.35">
      <c r="A14" s="12">
        <v>336</v>
      </c>
      <c r="B14" s="11">
        <v>42282</v>
      </c>
      <c r="D14" s="11">
        <v>42283</v>
      </c>
      <c r="H14" s="12">
        <v>1</v>
      </c>
      <c r="I14" s="12">
        <v>33.03548</v>
      </c>
      <c r="J14" s="12">
        <v>91.041560000000004</v>
      </c>
      <c r="K14" s="12">
        <v>67.599999999999994</v>
      </c>
      <c r="O14" s="12">
        <v>3</v>
      </c>
      <c r="Q14" s="12">
        <v>1410</v>
      </c>
      <c r="R14" s="12">
        <v>243</v>
      </c>
      <c r="S14" s="12">
        <v>24</v>
      </c>
      <c r="T14" s="12">
        <v>1</v>
      </c>
    </row>
    <row r="15" spans="1:39" ht="14.45" x14ac:dyDescent="0.35">
      <c r="A15" s="12">
        <v>336</v>
      </c>
      <c r="B15" s="11">
        <v>42282</v>
      </c>
      <c r="D15" s="11">
        <v>42283</v>
      </c>
      <c r="H15" s="12">
        <v>1</v>
      </c>
      <c r="I15" s="12">
        <v>33.03548</v>
      </c>
      <c r="J15" s="12">
        <v>91.041560000000004</v>
      </c>
      <c r="K15" s="12">
        <v>67.599999999999994</v>
      </c>
      <c r="O15" s="12">
        <v>3</v>
      </c>
      <c r="Q15" s="12">
        <v>1758</v>
      </c>
      <c r="R15" s="12">
        <v>268</v>
      </c>
      <c r="S15" s="12">
        <v>26</v>
      </c>
      <c r="T15" s="12">
        <v>1</v>
      </c>
    </row>
    <row r="16" spans="1:39" ht="14.45" x14ac:dyDescent="0.35">
      <c r="A16" s="12">
        <v>336</v>
      </c>
      <c r="B16" s="11">
        <v>42282</v>
      </c>
      <c r="D16" s="11">
        <v>42283</v>
      </c>
      <c r="H16" s="12">
        <v>1</v>
      </c>
      <c r="I16" s="12">
        <v>33.03548</v>
      </c>
      <c r="J16" s="12">
        <v>91.041560000000004</v>
      </c>
      <c r="K16" s="12">
        <v>67.599999999999994</v>
      </c>
      <c r="O16" s="12">
        <v>3</v>
      </c>
      <c r="Q16" s="12">
        <v>1395</v>
      </c>
      <c r="R16" s="12">
        <v>154</v>
      </c>
      <c r="S16" s="12">
        <v>15</v>
      </c>
      <c r="T16" s="12">
        <v>1</v>
      </c>
    </row>
    <row r="17" spans="1:20" ht="14.45" x14ac:dyDescent="0.35">
      <c r="A17" s="12">
        <v>336</v>
      </c>
      <c r="B17" s="11">
        <v>42282</v>
      </c>
      <c r="D17" s="11">
        <v>42283</v>
      </c>
      <c r="H17" s="12">
        <v>1</v>
      </c>
      <c r="I17" s="12">
        <v>33.03548</v>
      </c>
      <c r="J17" s="12">
        <v>91.041560000000004</v>
      </c>
      <c r="K17" s="12">
        <v>67.599999999999994</v>
      </c>
      <c r="O17" s="12">
        <v>3</v>
      </c>
      <c r="Q17" s="12">
        <v>1397</v>
      </c>
      <c r="R17" s="12">
        <v>146</v>
      </c>
      <c r="S17" s="12">
        <v>14</v>
      </c>
      <c r="T17" s="12">
        <v>1</v>
      </c>
    </row>
    <row r="18" spans="1:20" ht="14.45" x14ac:dyDescent="0.35">
      <c r="A18" s="12">
        <v>336</v>
      </c>
      <c r="B18" s="11">
        <v>42282</v>
      </c>
      <c r="D18" s="11">
        <v>42283</v>
      </c>
      <c r="H18" s="12">
        <v>1</v>
      </c>
      <c r="I18" s="12">
        <v>33.03548</v>
      </c>
      <c r="J18" s="12">
        <v>91.041560000000004</v>
      </c>
      <c r="K18" s="12">
        <v>67.599999999999994</v>
      </c>
      <c r="O18" s="12">
        <v>3</v>
      </c>
      <c r="Q18" s="12">
        <v>1410</v>
      </c>
      <c r="R18" s="12">
        <v>181</v>
      </c>
      <c r="S18" s="12">
        <v>18</v>
      </c>
      <c r="T18" s="12">
        <v>1</v>
      </c>
    </row>
    <row r="19" spans="1:20" ht="14.45" x14ac:dyDescent="0.35">
      <c r="A19" s="12">
        <v>336</v>
      </c>
      <c r="B19" s="11">
        <v>42282</v>
      </c>
      <c r="D19" s="11">
        <v>42283</v>
      </c>
      <c r="H19" s="12">
        <v>1</v>
      </c>
      <c r="I19" s="12">
        <v>33.03548</v>
      </c>
      <c r="J19" s="12">
        <v>91.041560000000004</v>
      </c>
      <c r="K19" s="12">
        <v>67.599999999999994</v>
      </c>
      <c r="O19" s="12">
        <v>3</v>
      </c>
      <c r="Q19" s="12">
        <v>1395</v>
      </c>
      <c r="R19" s="12">
        <v>145</v>
      </c>
      <c r="S19" s="12">
        <v>14</v>
      </c>
      <c r="T19" s="12">
        <v>1</v>
      </c>
    </row>
    <row r="20" spans="1:20" ht="14.45" x14ac:dyDescent="0.35">
      <c r="A20" s="12">
        <v>336</v>
      </c>
      <c r="B20" s="11">
        <v>42282</v>
      </c>
      <c r="D20" s="11">
        <v>42283</v>
      </c>
      <c r="H20" s="12">
        <v>2</v>
      </c>
      <c r="I20" s="12">
        <v>33.041449999999998</v>
      </c>
      <c r="J20" s="12">
        <v>91.041849999999997</v>
      </c>
      <c r="K20" s="12">
        <v>68.8</v>
      </c>
      <c r="O20" s="12">
        <v>3</v>
      </c>
      <c r="Q20" s="12">
        <v>312</v>
      </c>
      <c r="R20" s="12">
        <v>75</v>
      </c>
      <c r="S20" s="12">
        <v>7</v>
      </c>
      <c r="T20" s="12">
        <v>1</v>
      </c>
    </row>
    <row r="21" spans="1:20" ht="14.45" x14ac:dyDescent="0.35">
      <c r="A21" s="12">
        <v>336</v>
      </c>
      <c r="B21" s="11">
        <v>42282</v>
      </c>
      <c r="D21" s="11">
        <v>42283</v>
      </c>
      <c r="H21" s="12">
        <v>2</v>
      </c>
      <c r="I21" s="12">
        <v>33.041449999999998</v>
      </c>
      <c r="J21" s="12">
        <v>91.041849999999997</v>
      </c>
      <c r="K21" s="12">
        <v>68.8</v>
      </c>
      <c r="O21" s="12">
        <v>3</v>
      </c>
      <c r="Q21" s="12">
        <v>312</v>
      </c>
      <c r="R21" s="12">
        <v>80</v>
      </c>
      <c r="S21" s="12">
        <v>8</v>
      </c>
      <c r="T21" s="12">
        <v>1</v>
      </c>
    </row>
    <row r="22" spans="1:20" ht="14.45" x14ac:dyDescent="0.35">
      <c r="A22" s="12">
        <v>336</v>
      </c>
      <c r="B22" s="11">
        <v>42282</v>
      </c>
      <c r="D22" s="11">
        <v>42283</v>
      </c>
      <c r="H22" s="12">
        <v>2</v>
      </c>
      <c r="I22" s="12">
        <v>33.041449999999998</v>
      </c>
      <c r="J22" s="12">
        <v>91.041849999999997</v>
      </c>
      <c r="K22" s="12">
        <v>68.8</v>
      </c>
      <c r="O22" s="12">
        <v>3</v>
      </c>
      <c r="Q22" s="12">
        <v>1397</v>
      </c>
      <c r="R22" s="12">
        <v>195</v>
      </c>
      <c r="S22" s="12">
        <v>19</v>
      </c>
      <c r="T22" s="12">
        <v>1</v>
      </c>
    </row>
    <row r="23" spans="1:20" ht="14.45" x14ac:dyDescent="0.35">
      <c r="A23" s="12">
        <v>336</v>
      </c>
      <c r="B23" s="11">
        <v>42282</v>
      </c>
      <c r="D23" s="11">
        <v>42283</v>
      </c>
      <c r="H23" s="12">
        <v>2</v>
      </c>
      <c r="I23" s="12">
        <v>33.041449999999998</v>
      </c>
      <c r="J23" s="12">
        <v>91.041849999999997</v>
      </c>
      <c r="K23" s="12">
        <v>68.8</v>
      </c>
      <c r="O23" s="12">
        <v>3</v>
      </c>
      <c r="Q23" s="12">
        <v>1400</v>
      </c>
      <c r="R23" s="12">
        <v>231</v>
      </c>
      <c r="S23" s="12">
        <v>23</v>
      </c>
      <c r="T23" s="12">
        <v>1</v>
      </c>
    </row>
    <row r="24" spans="1:20" ht="14.45" x14ac:dyDescent="0.35">
      <c r="A24" s="12">
        <v>336</v>
      </c>
      <c r="B24" s="11">
        <v>42282</v>
      </c>
      <c r="D24" s="11">
        <v>42283</v>
      </c>
      <c r="H24" s="12">
        <v>2</v>
      </c>
      <c r="I24" s="12">
        <v>33.041449999999998</v>
      </c>
      <c r="J24" s="12">
        <v>91.041849999999997</v>
      </c>
      <c r="K24" s="12">
        <v>68.8</v>
      </c>
      <c r="O24" s="12">
        <v>3</v>
      </c>
      <c r="Q24" s="12">
        <v>1410</v>
      </c>
      <c r="R24" s="12">
        <v>83</v>
      </c>
      <c r="S24" s="12">
        <v>8</v>
      </c>
      <c r="T24" s="12">
        <v>1</v>
      </c>
    </row>
    <row r="25" spans="1:20" ht="14.45" x14ac:dyDescent="0.35">
      <c r="A25" s="12">
        <v>336</v>
      </c>
      <c r="B25" s="11">
        <v>42282</v>
      </c>
      <c r="D25" s="11">
        <v>42283</v>
      </c>
      <c r="H25" s="12">
        <v>2</v>
      </c>
      <c r="I25" s="12">
        <v>33.041449999999998</v>
      </c>
      <c r="J25" s="12">
        <v>91.041849999999997</v>
      </c>
      <c r="K25" s="12">
        <v>68.8</v>
      </c>
      <c r="O25" s="12">
        <v>3</v>
      </c>
      <c r="Q25" s="12">
        <v>1410</v>
      </c>
      <c r="R25" s="12">
        <v>260</v>
      </c>
      <c r="S25" s="12">
        <v>26</v>
      </c>
      <c r="T25" s="12">
        <v>1</v>
      </c>
    </row>
    <row r="26" spans="1:20" ht="14.45" x14ac:dyDescent="0.35">
      <c r="A26" s="12">
        <v>336</v>
      </c>
      <c r="B26" s="11">
        <v>42282</v>
      </c>
      <c r="D26" s="11">
        <v>42283</v>
      </c>
      <c r="H26" s="12">
        <v>2</v>
      </c>
      <c r="I26" s="12">
        <v>33.041449999999998</v>
      </c>
      <c r="J26" s="12">
        <v>91.041849999999997</v>
      </c>
      <c r="K26" s="12">
        <v>68.8</v>
      </c>
      <c r="O26" s="12">
        <v>3</v>
      </c>
      <c r="Q26" s="12">
        <v>1410</v>
      </c>
      <c r="R26" s="12">
        <v>300</v>
      </c>
      <c r="S26" s="12">
        <v>30</v>
      </c>
      <c r="T26" s="12">
        <v>1</v>
      </c>
    </row>
    <row r="27" spans="1:20" x14ac:dyDescent="0.25">
      <c r="A27" s="12">
        <v>336</v>
      </c>
      <c r="B27" s="11">
        <v>42282</v>
      </c>
      <c r="D27" s="11">
        <v>42283</v>
      </c>
      <c r="H27" s="12">
        <v>2</v>
      </c>
      <c r="I27" s="12">
        <v>33.041449999999998</v>
      </c>
      <c r="J27" s="12">
        <v>91.041849999999997</v>
      </c>
      <c r="K27" s="12">
        <v>68.8</v>
      </c>
      <c r="O27" s="12">
        <v>3</v>
      </c>
      <c r="Q27" s="12">
        <v>1410</v>
      </c>
      <c r="R27" s="12">
        <v>347</v>
      </c>
      <c r="S27" s="12">
        <v>34</v>
      </c>
      <c r="T27" s="12">
        <v>1</v>
      </c>
    </row>
    <row r="28" spans="1:20" x14ac:dyDescent="0.25">
      <c r="A28" s="12">
        <v>336</v>
      </c>
      <c r="B28" s="11">
        <v>42282</v>
      </c>
      <c r="D28" s="11">
        <v>42283</v>
      </c>
      <c r="H28" s="12">
        <v>2</v>
      </c>
      <c r="I28" s="12">
        <v>33.041449999999998</v>
      </c>
      <c r="J28" s="12">
        <v>91.041849999999997</v>
      </c>
      <c r="K28" s="12">
        <v>68.8</v>
      </c>
      <c r="O28" s="12">
        <v>3</v>
      </c>
      <c r="Q28" s="12">
        <v>1410</v>
      </c>
      <c r="R28" s="12">
        <v>315</v>
      </c>
      <c r="S28" s="12">
        <v>31</v>
      </c>
      <c r="T28" s="12">
        <v>1</v>
      </c>
    </row>
    <row r="29" spans="1:20" x14ac:dyDescent="0.25">
      <c r="A29" s="12">
        <v>336</v>
      </c>
      <c r="B29" s="11">
        <v>42282</v>
      </c>
      <c r="D29" s="11">
        <v>42283</v>
      </c>
      <c r="H29" s="12">
        <v>2</v>
      </c>
      <c r="I29" s="12">
        <v>33.041449999999998</v>
      </c>
      <c r="J29" s="12">
        <v>91.041849999999997</v>
      </c>
      <c r="K29" s="12">
        <v>68.8</v>
      </c>
      <c r="O29" s="12">
        <v>3</v>
      </c>
      <c r="Q29" s="12">
        <v>1410</v>
      </c>
      <c r="R29" s="12">
        <v>250</v>
      </c>
      <c r="S29" s="12">
        <v>25</v>
      </c>
      <c r="T29" s="12">
        <v>1</v>
      </c>
    </row>
    <row r="30" spans="1:20" x14ac:dyDescent="0.25">
      <c r="A30" s="12">
        <v>336</v>
      </c>
      <c r="B30" s="11">
        <v>42282</v>
      </c>
      <c r="D30" s="11">
        <v>42283</v>
      </c>
      <c r="H30" s="12">
        <v>2</v>
      </c>
      <c r="I30" s="12">
        <v>33.041449999999998</v>
      </c>
      <c r="J30" s="12">
        <v>91.041849999999997</v>
      </c>
      <c r="K30" s="12">
        <v>68.8</v>
      </c>
      <c r="O30" s="12">
        <v>3</v>
      </c>
      <c r="Q30" s="12">
        <v>1410</v>
      </c>
      <c r="R30" s="12">
        <v>240</v>
      </c>
      <c r="S30" s="12">
        <v>24</v>
      </c>
      <c r="T30" s="12">
        <v>1</v>
      </c>
    </row>
    <row r="31" spans="1:20" x14ac:dyDescent="0.25">
      <c r="A31" s="12">
        <v>336</v>
      </c>
      <c r="B31" s="11">
        <v>42282</v>
      </c>
      <c r="D31" s="11">
        <v>42283</v>
      </c>
      <c r="H31" s="12">
        <v>2</v>
      </c>
      <c r="I31" s="12">
        <v>33.041449999999998</v>
      </c>
      <c r="J31" s="12">
        <v>91.041849999999997</v>
      </c>
      <c r="K31" s="12">
        <v>68.8</v>
      </c>
      <c r="O31" s="12">
        <v>3</v>
      </c>
      <c r="Q31" s="12">
        <v>1410</v>
      </c>
      <c r="R31" s="12">
        <v>247</v>
      </c>
      <c r="S31" s="12">
        <v>24</v>
      </c>
      <c r="T31" s="12">
        <v>1</v>
      </c>
    </row>
    <row r="32" spans="1:20" x14ac:dyDescent="0.25">
      <c r="A32" s="12">
        <v>336</v>
      </c>
      <c r="B32" s="11">
        <v>42282</v>
      </c>
      <c r="D32" s="11">
        <v>42283</v>
      </c>
      <c r="H32" s="12">
        <v>2</v>
      </c>
      <c r="I32" s="12">
        <v>33.041449999999998</v>
      </c>
      <c r="J32" s="12">
        <v>91.041849999999997</v>
      </c>
      <c r="K32" s="12">
        <v>68.8</v>
      </c>
      <c r="O32" s="12">
        <v>3</v>
      </c>
      <c r="Q32" s="12">
        <v>1410</v>
      </c>
      <c r="R32" s="12">
        <v>240</v>
      </c>
      <c r="S32" s="12">
        <v>24</v>
      </c>
      <c r="T32" s="12">
        <v>1</v>
      </c>
    </row>
    <row r="33" spans="1:20" x14ac:dyDescent="0.25">
      <c r="A33" s="12">
        <v>336</v>
      </c>
      <c r="B33" s="11">
        <v>42282</v>
      </c>
      <c r="D33" s="11">
        <v>42283</v>
      </c>
      <c r="H33" s="12">
        <v>2</v>
      </c>
      <c r="I33" s="12">
        <v>33.041449999999998</v>
      </c>
      <c r="J33" s="12">
        <v>91.041849999999997</v>
      </c>
      <c r="K33" s="12">
        <v>68.8</v>
      </c>
      <c r="O33" s="12">
        <v>3</v>
      </c>
      <c r="Q33" s="12">
        <v>1410</v>
      </c>
      <c r="R33" s="12">
        <v>208</v>
      </c>
      <c r="S33" s="12">
        <v>20</v>
      </c>
      <c r="T33" s="12">
        <v>1</v>
      </c>
    </row>
    <row r="34" spans="1:20" x14ac:dyDescent="0.25">
      <c r="A34" s="12">
        <v>336</v>
      </c>
      <c r="B34" s="11">
        <v>42282</v>
      </c>
      <c r="D34" s="11">
        <v>42283</v>
      </c>
      <c r="H34" s="12">
        <v>2</v>
      </c>
      <c r="I34" s="12">
        <v>33.041449999999998</v>
      </c>
      <c r="J34" s="12">
        <v>91.041849999999997</v>
      </c>
      <c r="K34" s="12">
        <v>68.8</v>
      </c>
      <c r="O34" s="12">
        <v>3</v>
      </c>
      <c r="Q34" s="12">
        <v>1410</v>
      </c>
      <c r="R34" s="12">
        <v>197</v>
      </c>
      <c r="S34" s="12">
        <v>19</v>
      </c>
      <c r="T34" s="12">
        <v>1</v>
      </c>
    </row>
    <row r="35" spans="1:20" x14ac:dyDescent="0.25">
      <c r="A35" s="12">
        <v>336</v>
      </c>
      <c r="B35" s="11">
        <v>42282</v>
      </c>
      <c r="D35" s="11">
        <v>42283</v>
      </c>
      <c r="H35" s="12">
        <v>2</v>
      </c>
      <c r="I35" s="12">
        <v>33.041449999999998</v>
      </c>
      <c r="J35" s="12">
        <v>91.041849999999997</v>
      </c>
      <c r="K35" s="12">
        <v>68.8</v>
      </c>
      <c r="O35" s="12">
        <v>3</v>
      </c>
      <c r="Q35" s="12">
        <v>1410</v>
      </c>
      <c r="R35" s="12">
        <v>269</v>
      </c>
      <c r="S35" s="12">
        <v>26</v>
      </c>
      <c r="T35" s="12">
        <v>1</v>
      </c>
    </row>
    <row r="36" spans="1:20" x14ac:dyDescent="0.25">
      <c r="A36" s="12">
        <v>336</v>
      </c>
      <c r="B36" s="11">
        <v>42282</v>
      </c>
      <c r="D36" s="11">
        <v>42283</v>
      </c>
      <c r="H36" s="12">
        <v>2</v>
      </c>
      <c r="I36" s="12">
        <v>33.041449999999998</v>
      </c>
      <c r="J36" s="12">
        <v>91.041849999999997</v>
      </c>
      <c r="K36" s="12">
        <v>68.8</v>
      </c>
      <c r="O36" s="12">
        <v>3</v>
      </c>
      <c r="Q36" s="12">
        <v>1410</v>
      </c>
      <c r="R36" s="12">
        <v>208</v>
      </c>
      <c r="S36" s="12">
        <v>20</v>
      </c>
      <c r="T36" s="12">
        <v>1</v>
      </c>
    </row>
    <row r="37" spans="1:20" x14ac:dyDescent="0.25">
      <c r="A37" s="12">
        <v>336</v>
      </c>
      <c r="B37" s="11">
        <v>42282</v>
      </c>
      <c r="D37" s="11">
        <v>42283</v>
      </c>
      <c r="H37" s="12">
        <v>2</v>
      </c>
      <c r="I37" s="12">
        <v>33.041449999999998</v>
      </c>
      <c r="J37" s="12">
        <v>91.041849999999997</v>
      </c>
      <c r="K37" s="12">
        <v>68.8</v>
      </c>
      <c r="O37" s="12">
        <v>3</v>
      </c>
      <c r="Q37" s="12">
        <v>1410</v>
      </c>
      <c r="R37" s="12">
        <v>199</v>
      </c>
      <c r="S37" s="12">
        <v>19</v>
      </c>
      <c r="T37" s="12">
        <v>1</v>
      </c>
    </row>
    <row r="38" spans="1:20" x14ac:dyDescent="0.25">
      <c r="A38" s="12">
        <v>336</v>
      </c>
      <c r="B38" s="11">
        <v>42282</v>
      </c>
      <c r="D38" s="11">
        <v>42283</v>
      </c>
      <c r="H38" s="12">
        <v>2</v>
      </c>
      <c r="I38" s="12">
        <v>33.041449999999998</v>
      </c>
      <c r="J38" s="12">
        <v>91.041849999999997</v>
      </c>
      <c r="K38" s="12">
        <v>68.8</v>
      </c>
      <c r="O38" s="12">
        <v>3</v>
      </c>
      <c r="Q38" s="12">
        <v>1410</v>
      </c>
      <c r="R38" s="12">
        <v>106</v>
      </c>
      <c r="S38" s="12">
        <v>10</v>
      </c>
      <c r="T38" s="12">
        <v>1</v>
      </c>
    </row>
    <row r="39" spans="1:20" x14ac:dyDescent="0.25">
      <c r="A39" s="12">
        <v>336</v>
      </c>
      <c r="B39" s="11">
        <v>42282</v>
      </c>
      <c r="D39" s="11">
        <v>42283</v>
      </c>
      <c r="H39" s="12">
        <v>2</v>
      </c>
      <c r="I39" s="12">
        <v>33.041449999999998</v>
      </c>
      <c r="J39" s="12">
        <v>91.041849999999997</v>
      </c>
      <c r="K39" s="12">
        <v>68.8</v>
      </c>
      <c r="O39" s="12">
        <v>3</v>
      </c>
      <c r="Q39" s="12">
        <v>1410</v>
      </c>
      <c r="R39" s="12">
        <v>130</v>
      </c>
      <c r="S39" s="12">
        <v>13</v>
      </c>
      <c r="T39" s="12">
        <v>1</v>
      </c>
    </row>
    <row r="40" spans="1:20" x14ac:dyDescent="0.25">
      <c r="A40" s="12">
        <v>336</v>
      </c>
      <c r="B40" s="11">
        <v>42282</v>
      </c>
      <c r="D40" s="11">
        <v>42283</v>
      </c>
      <c r="H40" s="12">
        <v>2</v>
      </c>
      <c r="I40" s="12">
        <v>33.041449999999998</v>
      </c>
      <c r="J40" s="12">
        <v>91.041849999999997</v>
      </c>
      <c r="K40" s="12">
        <v>68.8</v>
      </c>
      <c r="O40" s="12">
        <v>3</v>
      </c>
      <c r="Q40" s="12">
        <v>1410</v>
      </c>
      <c r="R40" s="12">
        <v>165</v>
      </c>
      <c r="S40" s="12">
        <v>16</v>
      </c>
      <c r="T40" s="12">
        <v>1</v>
      </c>
    </row>
    <row r="41" spans="1:20" x14ac:dyDescent="0.25">
      <c r="A41" s="12">
        <v>336</v>
      </c>
      <c r="B41" s="11">
        <v>42282</v>
      </c>
      <c r="D41" s="11">
        <v>42283</v>
      </c>
      <c r="H41" s="12">
        <v>2</v>
      </c>
      <c r="I41" s="12">
        <v>33.041449999999998</v>
      </c>
      <c r="J41" s="12">
        <v>91.041849999999997</v>
      </c>
      <c r="K41" s="12">
        <v>68.8</v>
      </c>
      <c r="O41" s="12">
        <v>3</v>
      </c>
      <c r="Q41" s="12">
        <v>1410</v>
      </c>
      <c r="R41" s="12">
        <v>220</v>
      </c>
      <c r="S41" s="12">
        <v>22</v>
      </c>
      <c r="T41" s="12">
        <v>1</v>
      </c>
    </row>
    <row r="42" spans="1:20" x14ac:dyDescent="0.25">
      <c r="A42" s="12">
        <v>336</v>
      </c>
      <c r="B42" s="11">
        <v>42282</v>
      </c>
      <c r="D42" s="11">
        <v>42283</v>
      </c>
      <c r="H42" s="12">
        <v>2</v>
      </c>
      <c r="I42" s="12">
        <v>33.041449999999998</v>
      </c>
      <c r="J42" s="12">
        <v>91.041849999999997</v>
      </c>
      <c r="K42" s="12">
        <v>68.8</v>
      </c>
      <c r="O42" s="12">
        <v>3</v>
      </c>
      <c r="Q42" s="12">
        <v>1410</v>
      </c>
      <c r="R42" s="12">
        <v>222</v>
      </c>
      <c r="S42" s="12">
        <v>22</v>
      </c>
      <c r="T42" s="12">
        <v>1</v>
      </c>
    </row>
    <row r="43" spans="1:20" x14ac:dyDescent="0.25">
      <c r="A43" s="12">
        <v>336</v>
      </c>
      <c r="B43" s="11">
        <v>42282</v>
      </c>
      <c r="D43" s="11">
        <v>42283</v>
      </c>
      <c r="H43" s="12">
        <v>2</v>
      </c>
      <c r="I43" s="12">
        <v>33.041449999999998</v>
      </c>
      <c r="J43" s="12">
        <v>91.041849999999997</v>
      </c>
      <c r="K43" s="12">
        <v>68.8</v>
      </c>
      <c r="O43" s="12">
        <v>3</v>
      </c>
      <c r="Q43" s="12">
        <v>1410</v>
      </c>
      <c r="R43" s="12">
        <v>234</v>
      </c>
      <c r="S43" s="12">
        <v>23</v>
      </c>
      <c r="T43" s="12">
        <v>1</v>
      </c>
    </row>
    <row r="44" spans="1:20" x14ac:dyDescent="0.25">
      <c r="A44" s="12">
        <v>336</v>
      </c>
      <c r="B44" s="11">
        <v>42282</v>
      </c>
      <c r="D44" s="11">
        <v>42283</v>
      </c>
      <c r="H44" s="12">
        <v>2</v>
      </c>
      <c r="I44" s="12">
        <v>33.041449999999998</v>
      </c>
      <c r="J44" s="12">
        <v>91.041849999999997</v>
      </c>
      <c r="K44" s="12">
        <v>68.8</v>
      </c>
      <c r="O44" s="12">
        <v>3</v>
      </c>
      <c r="Q44" s="12">
        <v>1410</v>
      </c>
      <c r="R44" s="12">
        <v>190</v>
      </c>
      <c r="S44" s="12">
        <v>19</v>
      </c>
      <c r="T44" s="12">
        <v>1</v>
      </c>
    </row>
    <row r="45" spans="1:20" x14ac:dyDescent="0.25">
      <c r="A45" s="12">
        <v>336</v>
      </c>
      <c r="B45" s="11">
        <v>42282</v>
      </c>
      <c r="D45" s="11">
        <v>42283</v>
      </c>
      <c r="H45" s="12">
        <v>2</v>
      </c>
      <c r="I45" s="12">
        <v>33.041449999999998</v>
      </c>
      <c r="J45" s="12">
        <v>91.041849999999997</v>
      </c>
      <c r="K45" s="12">
        <v>68.8</v>
      </c>
      <c r="O45" s="12">
        <v>3</v>
      </c>
      <c r="Q45" s="12">
        <v>1410</v>
      </c>
      <c r="R45" s="12">
        <v>194</v>
      </c>
      <c r="S45" s="12">
        <v>19</v>
      </c>
      <c r="T45" s="12">
        <v>1</v>
      </c>
    </row>
    <row r="46" spans="1:20" x14ac:dyDescent="0.25">
      <c r="A46" s="12">
        <v>336</v>
      </c>
      <c r="B46" s="11">
        <v>42282</v>
      </c>
      <c r="D46" s="11">
        <v>42283</v>
      </c>
      <c r="H46" s="12">
        <v>2</v>
      </c>
      <c r="I46" s="12">
        <v>33.041449999999998</v>
      </c>
      <c r="J46" s="12">
        <v>91.041849999999997</v>
      </c>
      <c r="K46" s="12">
        <v>68.8</v>
      </c>
      <c r="O46" s="12">
        <v>3</v>
      </c>
      <c r="Q46" s="12">
        <v>1410</v>
      </c>
      <c r="R46" s="12">
        <v>131</v>
      </c>
      <c r="S46" s="12">
        <v>13</v>
      </c>
      <c r="T46" s="12">
        <v>1</v>
      </c>
    </row>
    <row r="47" spans="1:20" x14ac:dyDescent="0.25">
      <c r="A47" s="12">
        <v>336</v>
      </c>
      <c r="B47" s="11">
        <v>42282</v>
      </c>
      <c r="D47" s="11">
        <v>42283</v>
      </c>
      <c r="H47" s="12">
        <v>2</v>
      </c>
      <c r="I47" s="12">
        <v>33.041449999999998</v>
      </c>
      <c r="J47" s="12">
        <v>91.041849999999997</v>
      </c>
      <c r="K47" s="12">
        <v>68.8</v>
      </c>
      <c r="O47" s="12">
        <v>3</v>
      </c>
      <c r="Q47" s="12">
        <v>1410</v>
      </c>
      <c r="R47" s="12">
        <v>90</v>
      </c>
      <c r="S47" s="12">
        <v>9</v>
      </c>
      <c r="T47" s="12">
        <v>1</v>
      </c>
    </row>
    <row r="48" spans="1:20" x14ac:dyDescent="0.25">
      <c r="A48" s="12">
        <v>336</v>
      </c>
      <c r="B48" s="11">
        <v>42282</v>
      </c>
      <c r="D48" s="11">
        <v>42283</v>
      </c>
      <c r="H48" s="12">
        <v>3</v>
      </c>
      <c r="I48" s="12">
        <v>33.045839999999998</v>
      </c>
      <c r="J48" s="12">
        <v>91.044880000000006</v>
      </c>
      <c r="K48" s="12">
        <v>69</v>
      </c>
      <c r="O48" s="12">
        <v>5</v>
      </c>
      <c r="Q48" s="12">
        <v>1410</v>
      </c>
      <c r="R48" s="12">
        <v>237</v>
      </c>
      <c r="S48" s="12">
        <v>23</v>
      </c>
      <c r="T48" s="12">
        <v>1</v>
      </c>
    </row>
    <row r="49" spans="1:20" x14ac:dyDescent="0.25">
      <c r="A49" s="12">
        <v>336</v>
      </c>
      <c r="B49" s="11">
        <v>42282</v>
      </c>
      <c r="D49" s="11">
        <v>42283</v>
      </c>
      <c r="H49" s="12">
        <v>3</v>
      </c>
      <c r="I49" s="12">
        <v>33.045839999999998</v>
      </c>
      <c r="J49" s="12">
        <v>91.044880000000006</v>
      </c>
      <c r="K49" s="12">
        <v>69</v>
      </c>
      <c r="O49" s="12">
        <v>5</v>
      </c>
      <c r="Q49" s="12">
        <v>1410</v>
      </c>
      <c r="R49" s="12">
        <v>190</v>
      </c>
      <c r="S49" s="12">
        <v>19</v>
      </c>
      <c r="T49" s="12">
        <v>1</v>
      </c>
    </row>
    <row r="50" spans="1:20" x14ac:dyDescent="0.25">
      <c r="A50" s="12">
        <v>336</v>
      </c>
      <c r="B50" s="11">
        <v>42282</v>
      </c>
      <c r="D50" s="11">
        <v>42283</v>
      </c>
      <c r="H50" s="12">
        <v>3</v>
      </c>
      <c r="I50" s="12">
        <v>33.045839999999998</v>
      </c>
      <c r="J50" s="12">
        <v>91.044880000000006</v>
      </c>
      <c r="K50" s="12">
        <v>69</v>
      </c>
      <c r="O50" s="12">
        <v>5</v>
      </c>
      <c r="Q50" s="12">
        <v>1410</v>
      </c>
      <c r="R50" s="12">
        <v>265</v>
      </c>
      <c r="S50" s="12">
        <v>26</v>
      </c>
      <c r="T50" s="12">
        <v>1</v>
      </c>
    </row>
    <row r="51" spans="1:20" x14ac:dyDescent="0.25">
      <c r="A51" s="12">
        <v>336</v>
      </c>
      <c r="B51" s="11">
        <v>42282</v>
      </c>
      <c r="D51" s="11">
        <v>42283</v>
      </c>
      <c r="H51" s="12">
        <v>3</v>
      </c>
      <c r="I51" s="12">
        <v>33.045839999999998</v>
      </c>
      <c r="J51" s="12">
        <v>91.044880000000006</v>
      </c>
      <c r="K51" s="12">
        <v>69</v>
      </c>
      <c r="O51" s="12">
        <v>5</v>
      </c>
      <c r="Q51" s="12">
        <v>1410</v>
      </c>
      <c r="R51" s="12">
        <v>302</v>
      </c>
      <c r="S51" s="12">
        <v>30</v>
      </c>
      <c r="T51" s="12">
        <v>1</v>
      </c>
    </row>
    <row r="52" spans="1:20" x14ac:dyDescent="0.25">
      <c r="A52" s="12">
        <v>336</v>
      </c>
      <c r="B52" s="11">
        <v>42282</v>
      </c>
      <c r="D52" s="11">
        <v>42283</v>
      </c>
      <c r="H52" s="12">
        <v>3</v>
      </c>
      <c r="I52" s="12">
        <v>33.045839999999998</v>
      </c>
      <c r="J52" s="12">
        <v>91.044880000000006</v>
      </c>
      <c r="K52" s="12">
        <v>69</v>
      </c>
      <c r="O52" s="12">
        <v>5</v>
      </c>
      <c r="Q52" s="12">
        <v>1410</v>
      </c>
      <c r="R52" s="12">
        <v>312</v>
      </c>
      <c r="S52" s="12">
        <v>31</v>
      </c>
      <c r="T52" s="12">
        <v>1</v>
      </c>
    </row>
    <row r="53" spans="1:20" x14ac:dyDescent="0.25">
      <c r="A53" s="12">
        <v>336</v>
      </c>
      <c r="B53" s="11">
        <v>42282</v>
      </c>
      <c r="D53" s="11">
        <v>42283</v>
      </c>
      <c r="H53" s="12">
        <v>3</v>
      </c>
      <c r="I53" s="12">
        <v>33.045839999999998</v>
      </c>
      <c r="J53" s="12">
        <v>91.044880000000006</v>
      </c>
      <c r="K53" s="12">
        <v>69</v>
      </c>
      <c r="O53" s="12">
        <v>5</v>
      </c>
      <c r="Q53" s="12">
        <v>1410</v>
      </c>
      <c r="R53" s="12">
        <v>230</v>
      </c>
      <c r="S53" s="12">
        <v>23</v>
      </c>
      <c r="T53" s="12">
        <v>1</v>
      </c>
    </row>
    <row r="54" spans="1:20" x14ac:dyDescent="0.25">
      <c r="A54" s="12">
        <v>336</v>
      </c>
      <c r="B54" s="11">
        <v>42282</v>
      </c>
      <c r="D54" s="11">
        <v>42283</v>
      </c>
      <c r="H54" s="12">
        <v>3</v>
      </c>
      <c r="I54" s="12">
        <v>33.045839999999998</v>
      </c>
      <c r="J54" s="12">
        <v>91.044880000000006</v>
      </c>
      <c r="K54" s="12">
        <v>69</v>
      </c>
      <c r="O54" s="12">
        <v>5</v>
      </c>
      <c r="Q54" s="12">
        <v>1410</v>
      </c>
      <c r="R54" s="12">
        <v>299</v>
      </c>
      <c r="S54" s="12">
        <v>29</v>
      </c>
      <c r="T54" s="12">
        <v>1</v>
      </c>
    </row>
    <row r="55" spans="1:20" x14ac:dyDescent="0.25">
      <c r="A55" s="12">
        <v>336</v>
      </c>
      <c r="B55" s="11">
        <v>42282</v>
      </c>
      <c r="D55" s="11">
        <v>42283</v>
      </c>
      <c r="H55" s="12">
        <v>3</v>
      </c>
      <c r="I55" s="12">
        <v>33.045839999999998</v>
      </c>
      <c r="J55" s="12">
        <v>91.044880000000006</v>
      </c>
      <c r="K55" s="12">
        <v>69</v>
      </c>
      <c r="O55" s="12">
        <v>5</v>
      </c>
      <c r="Q55" s="12">
        <v>1410</v>
      </c>
      <c r="R55" s="12">
        <v>220</v>
      </c>
      <c r="S55" s="12">
        <v>22</v>
      </c>
      <c r="T55" s="12">
        <v>1</v>
      </c>
    </row>
    <row r="56" spans="1:20" x14ac:dyDescent="0.25">
      <c r="A56" s="12">
        <v>336</v>
      </c>
      <c r="B56" s="11">
        <v>42282</v>
      </c>
      <c r="D56" s="11">
        <v>42283</v>
      </c>
      <c r="H56" s="12">
        <v>3</v>
      </c>
      <c r="I56" s="12">
        <v>33.045839999999998</v>
      </c>
      <c r="J56" s="12">
        <v>91.044880000000006</v>
      </c>
      <c r="K56" s="12">
        <v>69</v>
      </c>
      <c r="O56" s="12">
        <v>5</v>
      </c>
      <c r="Q56" s="12">
        <v>1410</v>
      </c>
      <c r="R56" s="12">
        <v>290</v>
      </c>
      <c r="S56" s="12">
        <v>29</v>
      </c>
      <c r="T56" s="12">
        <v>1</v>
      </c>
    </row>
    <row r="57" spans="1:20" x14ac:dyDescent="0.25">
      <c r="A57" s="12">
        <v>336</v>
      </c>
      <c r="B57" s="11">
        <v>42282</v>
      </c>
      <c r="D57" s="11">
        <v>42283</v>
      </c>
      <c r="H57" s="12">
        <v>3</v>
      </c>
      <c r="I57" s="12">
        <v>33.045839999999998</v>
      </c>
      <c r="J57" s="12">
        <v>91.044880000000006</v>
      </c>
      <c r="K57" s="12">
        <v>69</v>
      </c>
      <c r="O57" s="12">
        <v>5</v>
      </c>
      <c r="Q57" s="12">
        <v>1410</v>
      </c>
      <c r="R57" s="12">
        <v>315</v>
      </c>
      <c r="S57" s="12">
        <v>31</v>
      </c>
      <c r="T57" s="12">
        <v>1</v>
      </c>
    </row>
    <row r="58" spans="1:20" x14ac:dyDescent="0.25">
      <c r="A58" s="12">
        <v>336</v>
      </c>
      <c r="B58" s="11">
        <v>42282</v>
      </c>
      <c r="D58" s="11">
        <v>42283</v>
      </c>
      <c r="H58" s="12">
        <v>3</v>
      </c>
      <c r="I58" s="12">
        <v>33.045839999999998</v>
      </c>
      <c r="J58" s="12">
        <v>91.044880000000006</v>
      </c>
      <c r="K58" s="12">
        <v>69</v>
      </c>
      <c r="O58" s="12">
        <v>5</v>
      </c>
      <c r="Q58" s="12">
        <v>1410</v>
      </c>
      <c r="R58" s="12">
        <v>295</v>
      </c>
      <c r="S58" s="12">
        <v>29</v>
      </c>
      <c r="T58" s="12">
        <v>1</v>
      </c>
    </row>
    <row r="59" spans="1:20" x14ac:dyDescent="0.25">
      <c r="A59" s="12">
        <v>336</v>
      </c>
      <c r="B59" s="11">
        <v>42282</v>
      </c>
      <c r="D59" s="11">
        <v>42283</v>
      </c>
      <c r="H59" s="12">
        <v>3</v>
      </c>
      <c r="I59" s="12">
        <v>33.045839999999998</v>
      </c>
      <c r="J59" s="12">
        <v>91.044880000000006</v>
      </c>
      <c r="K59" s="12">
        <v>69</v>
      </c>
      <c r="O59" s="12">
        <v>5</v>
      </c>
      <c r="Q59" s="12">
        <v>1410</v>
      </c>
      <c r="R59" s="12">
        <v>285</v>
      </c>
      <c r="S59" s="12">
        <v>28</v>
      </c>
      <c r="T59" s="12">
        <v>1</v>
      </c>
    </row>
    <row r="60" spans="1:20" x14ac:dyDescent="0.25">
      <c r="A60" s="12">
        <v>336</v>
      </c>
      <c r="B60" s="11">
        <v>42282</v>
      </c>
      <c r="D60" s="11">
        <v>42283</v>
      </c>
      <c r="H60" s="12">
        <v>3</v>
      </c>
      <c r="I60" s="12">
        <v>33.045839999999998</v>
      </c>
      <c r="J60" s="12">
        <v>91.044880000000006</v>
      </c>
      <c r="K60" s="12">
        <v>69</v>
      </c>
      <c r="O60" s="12">
        <v>5</v>
      </c>
      <c r="Q60" s="12">
        <v>1410</v>
      </c>
      <c r="R60" s="12">
        <v>260</v>
      </c>
      <c r="S60" s="12">
        <v>26</v>
      </c>
      <c r="T60" s="12">
        <v>1</v>
      </c>
    </row>
    <row r="61" spans="1:20" x14ac:dyDescent="0.25">
      <c r="A61" s="12">
        <v>336</v>
      </c>
      <c r="B61" s="11">
        <v>42282</v>
      </c>
      <c r="D61" s="11">
        <v>42283</v>
      </c>
      <c r="H61" s="12">
        <v>3</v>
      </c>
      <c r="I61" s="12">
        <v>33.045839999999998</v>
      </c>
      <c r="J61" s="12">
        <v>91.044880000000006</v>
      </c>
      <c r="K61" s="12">
        <v>69</v>
      </c>
      <c r="O61" s="12">
        <v>5</v>
      </c>
      <c r="Q61" s="12">
        <v>1410</v>
      </c>
      <c r="R61" s="12">
        <v>299</v>
      </c>
      <c r="S61" s="12">
        <v>29</v>
      </c>
      <c r="T61" s="12">
        <v>1</v>
      </c>
    </row>
    <row r="62" spans="1:20" x14ac:dyDescent="0.25">
      <c r="A62" s="12">
        <v>336</v>
      </c>
      <c r="B62" s="11">
        <v>42282</v>
      </c>
      <c r="D62" s="11">
        <v>42283</v>
      </c>
      <c r="H62" s="12">
        <v>3</v>
      </c>
      <c r="I62" s="12">
        <v>33.045839999999998</v>
      </c>
      <c r="J62" s="12">
        <v>91.044880000000006</v>
      </c>
      <c r="K62" s="12">
        <v>69</v>
      </c>
      <c r="O62" s="12">
        <v>5</v>
      </c>
      <c r="Q62" s="12">
        <v>1410</v>
      </c>
      <c r="R62" s="12">
        <v>250</v>
      </c>
      <c r="S62" s="12">
        <v>25</v>
      </c>
      <c r="T62" s="12">
        <v>1</v>
      </c>
    </row>
    <row r="63" spans="1:20" x14ac:dyDescent="0.25">
      <c r="A63" s="12">
        <v>336</v>
      </c>
      <c r="B63" s="11">
        <v>42282</v>
      </c>
      <c r="D63" s="11">
        <v>42283</v>
      </c>
      <c r="H63" s="12">
        <v>3</v>
      </c>
      <c r="I63" s="12">
        <v>33.045839999999998</v>
      </c>
      <c r="J63" s="12">
        <v>91.044880000000006</v>
      </c>
      <c r="K63" s="12">
        <v>69</v>
      </c>
      <c r="O63" s="12">
        <v>5</v>
      </c>
      <c r="Q63" s="12">
        <v>1410</v>
      </c>
      <c r="R63" s="12">
        <v>244</v>
      </c>
      <c r="S63" s="12">
        <v>24</v>
      </c>
      <c r="T63" s="12">
        <v>1</v>
      </c>
    </row>
    <row r="64" spans="1:20" x14ac:dyDescent="0.25">
      <c r="A64" s="12">
        <v>336</v>
      </c>
      <c r="B64" s="11">
        <v>42282</v>
      </c>
      <c r="D64" s="11">
        <v>42283</v>
      </c>
      <c r="H64" s="12">
        <v>3</v>
      </c>
      <c r="I64" s="12">
        <v>33.045839999999998</v>
      </c>
      <c r="J64" s="12">
        <v>91.044880000000006</v>
      </c>
      <c r="K64" s="12">
        <v>69</v>
      </c>
      <c r="O64" s="12">
        <v>5</v>
      </c>
      <c r="Q64" s="12">
        <v>1410</v>
      </c>
      <c r="R64" s="12">
        <v>229</v>
      </c>
      <c r="S64" s="12">
        <v>22</v>
      </c>
      <c r="T64" s="12">
        <v>1</v>
      </c>
    </row>
    <row r="65" spans="1:20" x14ac:dyDescent="0.25">
      <c r="A65" s="12">
        <v>336</v>
      </c>
      <c r="B65" s="11">
        <v>42282</v>
      </c>
      <c r="D65" s="11">
        <v>42283</v>
      </c>
      <c r="H65" s="12">
        <v>3</v>
      </c>
      <c r="I65" s="12">
        <v>33.045839999999998</v>
      </c>
      <c r="J65" s="12">
        <v>91.044880000000006</v>
      </c>
      <c r="K65" s="12">
        <v>69</v>
      </c>
      <c r="O65" s="12">
        <v>5</v>
      </c>
      <c r="Q65" s="12">
        <v>1410</v>
      </c>
      <c r="R65" s="12">
        <v>254</v>
      </c>
      <c r="S65" s="12">
        <v>25</v>
      </c>
      <c r="T65" s="12">
        <v>1</v>
      </c>
    </row>
    <row r="66" spans="1:20" x14ac:dyDescent="0.25">
      <c r="A66" s="12">
        <v>336</v>
      </c>
      <c r="B66" s="11">
        <v>42282</v>
      </c>
      <c r="D66" s="11">
        <v>42283</v>
      </c>
      <c r="H66" s="12">
        <v>3</v>
      </c>
      <c r="I66" s="12">
        <v>33.045839999999998</v>
      </c>
      <c r="J66" s="12">
        <v>91.044880000000006</v>
      </c>
      <c r="K66" s="12">
        <v>69</v>
      </c>
      <c r="O66" s="12">
        <v>5</v>
      </c>
      <c r="Q66" s="12">
        <v>1410</v>
      </c>
      <c r="R66" s="12">
        <v>289</v>
      </c>
      <c r="S66" s="12">
        <v>28</v>
      </c>
      <c r="T66" s="12">
        <v>1</v>
      </c>
    </row>
    <row r="67" spans="1:20" x14ac:dyDescent="0.25">
      <c r="A67" s="12">
        <v>336</v>
      </c>
      <c r="B67" s="11">
        <v>42282</v>
      </c>
      <c r="D67" s="11">
        <v>42283</v>
      </c>
      <c r="H67" s="12">
        <v>3</v>
      </c>
      <c r="I67" s="12">
        <v>33.045839999999998</v>
      </c>
      <c r="J67" s="12">
        <v>91.044880000000006</v>
      </c>
      <c r="K67" s="12">
        <v>69</v>
      </c>
      <c r="O67" s="12">
        <v>5</v>
      </c>
      <c r="Q67" s="12">
        <v>1410</v>
      </c>
      <c r="R67" s="12">
        <v>270</v>
      </c>
      <c r="S67" s="12">
        <v>27</v>
      </c>
      <c r="T67" s="12">
        <v>1</v>
      </c>
    </row>
    <row r="68" spans="1:20" x14ac:dyDescent="0.25">
      <c r="A68" s="12">
        <v>336</v>
      </c>
      <c r="B68" s="11">
        <v>42282</v>
      </c>
      <c r="D68" s="11">
        <v>42283</v>
      </c>
      <c r="H68" s="12">
        <v>3</v>
      </c>
      <c r="I68" s="12">
        <v>33.045839999999998</v>
      </c>
      <c r="J68" s="12">
        <v>91.044880000000006</v>
      </c>
      <c r="K68" s="12">
        <v>69</v>
      </c>
      <c r="O68" s="12">
        <v>5</v>
      </c>
      <c r="Q68" s="12">
        <v>1410</v>
      </c>
      <c r="R68" s="12">
        <v>321</v>
      </c>
      <c r="S68" s="12">
        <v>32</v>
      </c>
      <c r="T68" s="12">
        <v>1</v>
      </c>
    </row>
    <row r="69" spans="1:20" x14ac:dyDescent="0.25">
      <c r="A69" s="12">
        <v>336</v>
      </c>
      <c r="B69" s="11">
        <v>42282</v>
      </c>
      <c r="D69" s="11">
        <v>42283</v>
      </c>
      <c r="H69" s="12">
        <v>3</v>
      </c>
      <c r="I69" s="12">
        <v>33.045839999999998</v>
      </c>
      <c r="J69" s="12">
        <v>91.044880000000006</v>
      </c>
      <c r="K69" s="12">
        <v>69</v>
      </c>
      <c r="O69" s="12">
        <v>5</v>
      </c>
      <c r="Q69" s="12">
        <v>1410</v>
      </c>
      <c r="R69" s="12">
        <v>170</v>
      </c>
      <c r="S69" s="12">
        <v>17</v>
      </c>
      <c r="T69" s="12">
        <v>1</v>
      </c>
    </row>
    <row r="70" spans="1:20" x14ac:dyDescent="0.25">
      <c r="A70" s="12">
        <v>336</v>
      </c>
      <c r="B70" s="11">
        <v>42282</v>
      </c>
      <c r="D70" s="11">
        <v>42283</v>
      </c>
      <c r="H70" s="12">
        <v>3</v>
      </c>
      <c r="I70" s="12">
        <v>33.045839999999998</v>
      </c>
      <c r="J70" s="12">
        <v>91.044880000000006</v>
      </c>
      <c r="K70" s="12">
        <v>69</v>
      </c>
      <c r="O70" s="12">
        <v>5</v>
      </c>
      <c r="Q70" s="12">
        <v>1410</v>
      </c>
      <c r="R70" s="12">
        <v>263</v>
      </c>
      <c r="S70" s="12">
        <v>26</v>
      </c>
      <c r="T70" s="12">
        <v>1</v>
      </c>
    </row>
    <row r="71" spans="1:20" x14ac:dyDescent="0.25">
      <c r="A71" s="12">
        <v>336</v>
      </c>
      <c r="B71" s="11">
        <v>42282</v>
      </c>
      <c r="D71" s="11">
        <v>42283</v>
      </c>
      <c r="H71" s="12">
        <v>3</v>
      </c>
      <c r="I71" s="12">
        <v>33.045839999999998</v>
      </c>
      <c r="J71" s="12">
        <v>91.044880000000006</v>
      </c>
      <c r="K71" s="12">
        <v>69</v>
      </c>
      <c r="O71" s="12">
        <v>5</v>
      </c>
      <c r="Q71" s="12">
        <v>1410</v>
      </c>
      <c r="R71" s="12">
        <v>250</v>
      </c>
      <c r="S71" s="12">
        <v>25</v>
      </c>
      <c r="T71" s="12">
        <v>1</v>
      </c>
    </row>
    <row r="72" spans="1:20" x14ac:dyDescent="0.25">
      <c r="A72" s="12">
        <v>336</v>
      </c>
      <c r="B72" s="11">
        <v>42282</v>
      </c>
      <c r="D72" s="11">
        <v>42283</v>
      </c>
      <c r="H72" s="12">
        <v>3</v>
      </c>
      <c r="I72" s="12">
        <v>33.045839999999998</v>
      </c>
      <c r="J72" s="12">
        <v>91.044880000000006</v>
      </c>
      <c r="K72" s="12">
        <v>69</v>
      </c>
      <c r="O72" s="12">
        <v>5</v>
      </c>
      <c r="Q72" s="12">
        <v>1410</v>
      </c>
      <c r="R72" s="12">
        <v>237</v>
      </c>
      <c r="S72" s="12">
        <v>23</v>
      </c>
      <c r="T72" s="12">
        <v>1</v>
      </c>
    </row>
    <row r="73" spans="1:20" x14ac:dyDescent="0.25">
      <c r="A73" s="12">
        <v>336</v>
      </c>
      <c r="B73" s="11">
        <v>42282</v>
      </c>
      <c r="D73" s="11">
        <v>42283</v>
      </c>
      <c r="H73" s="12">
        <v>3</v>
      </c>
      <c r="I73" s="12">
        <v>33.045839999999998</v>
      </c>
      <c r="J73" s="12">
        <v>91.044880000000006</v>
      </c>
      <c r="K73" s="12">
        <v>69</v>
      </c>
      <c r="O73" s="12">
        <v>5</v>
      </c>
      <c r="Q73" s="12">
        <v>1410</v>
      </c>
      <c r="R73" s="12">
        <v>271</v>
      </c>
      <c r="S73" s="12">
        <v>27</v>
      </c>
      <c r="T73" s="12">
        <v>1</v>
      </c>
    </row>
    <row r="74" spans="1:20" x14ac:dyDescent="0.25">
      <c r="A74" s="12">
        <v>336</v>
      </c>
      <c r="B74" s="11">
        <v>42282</v>
      </c>
      <c r="D74" s="11">
        <v>42283</v>
      </c>
      <c r="H74" s="12">
        <v>3</v>
      </c>
      <c r="I74" s="12">
        <v>33.045839999999998</v>
      </c>
      <c r="J74" s="12">
        <v>91.044880000000006</v>
      </c>
      <c r="K74" s="12">
        <v>69</v>
      </c>
      <c r="O74" s="12">
        <v>5</v>
      </c>
      <c r="Q74" s="12">
        <v>1410</v>
      </c>
      <c r="R74" s="12">
        <v>230</v>
      </c>
      <c r="S74" s="12">
        <v>23</v>
      </c>
      <c r="T74" s="12">
        <v>1</v>
      </c>
    </row>
    <row r="75" spans="1:20" x14ac:dyDescent="0.25">
      <c r="A75" s="12">
        <v>336</v>
      </c>
      <c r="B75" s="11">
        <v>42282</v>
      </c>
      <c r="D75" s="11">
        <v>42283</v>
      </c>
      <c r="H75" s="12">
        <v>3</v>
      </c>
      <c r="I75" s="12">
        <v>33.045839999999998</v>
      </c>
      <c r="J75" s="12">
        <v>91.044880000000006</v>
      </c>
      <c r="K75" s="12">
        <v>69</v>
      </c>
      <c r="O75" s="12">
        <v>5</v>
      </c>
      <c r="Q75" s="12">
        <v>1410</v>
      </c>
      <c r="R75" s="12">
        <v>284</v>
      </c>
      <c r="S75" s="12">
        <v>28</v>
      </c>
      <c r="T75" s="12">
        <v>1</v>
      </c>
    </row>
    <row r="76" spans="1:20" x14ac:dyDescent="0.25">
      <c r="A76" s="12">
        <v>336</v>
      </c>
      <c r="B76" s="11">
        <v>42282</v>
      </c>
      <c r="D76" s="11">
        <v>42283</v>
      </c>
      <c r="H76" s="12">
        <v>3</v>
      </c>
      <c r="I76" s="12">
        <v>33.045839999999998</v>
      </c>
      <c r="J76" s="12">
        <v>91.044880000000006</v>
      </c>
      <c r="K76" s="12">
        <v>69</v>
      </c>
      <c r="O76" s="12">
        <v>5</v>
      </c>
      <c r="Q76" s="12">
        <v>1410</v>
      </c>
      <c r="R76" s="12">
        <v>220</v>
      </c>
      <c r="S76" s="12">
        <v>22</v>
      </c>
      <c r="T76" s="12">
        <v>1</v>
      </c>
    </row>
    <row r="77" spans="1:20" x14ac:dyDescent="0.25">
      <c r="A77" s="12">
        <v>336</v>
      </c>
      <c r="B77" s="11">
        <v>42282</v>
      </c>
      <c r="D77" s="11">
        <v>42283</v>
      </c>
      <c r="H77" s="12">
        <v>3</v>
      </c>
      <c r="I77" s="12">
        <v>33.045839999999998</v>
      </c>
      <c r="J77" s="12">
        <v>91.044880000000006</v>
      </c>
      <c r="K77" s="12">
        <v>69</v>
      </c>
      <c r="O77" s="12">
        <v>5</v>
      </c>
      <c r="Q77" s="12">
        <v>1410</v>
      </c>
      <c r="R77" s="12">
        <v>255</v>
      </c>
      <c r="S77" s="12">
        <v>25</v>
      </c>
      <c r="T77" s="12">
        <v>1</v>
      </c>
    </row>
    <row r="78" spans="1:20" x14ac:dyDescent="0.25">
      <c r="A78" s="12">
        <v>336</v>
      </c>
      <c r="B78" s="11">
        <v>42282</v>
      </c>
      <c r="D78" s="11">
        <v>42283</v>
      </c>
      <c r="H78" s="12">
        <v>3</v>
      </c>
      <c r="I78" s="12">
        <v>33.045839999999998</v>
      </c>
      <c r="J78" s="12">
        <v>91.044880000000006</v>
      </c>
      <c r="K78" s="12">
        <v>69</v>
      </c>
      <c r="O78" s="12">
        <v>5</v>
      </c>
      <c r="Q78" s="12">
        <v>1410</v>
      </c>
      <c r="R78" s="12">
        <v>195</v>
      </c>
      <c r="S78" s="12">
        <v>19</v>
      </c>
      <c r="T78" s="12">
        <v>1</v>
      </c>
    </row>
    <row r="79" spans="1:20" x14ac:dyDescent="0.25">
      <c r="A79" s="12">
        <v>336</v>
      </c>
      <c r="B79" s="11">
        <v>42282</v>
      </c>
      <c r="D79" s="11">
        <v>42283</v>
      </c>
      <c r="H79" s="12">
        <v>3</v>
      </c>
      <c r="I79" s="12">
        <v>33.045839999999998</v>
      </c>
      <c r="J79" s="12">
        <v>91.044880000000006</v>
      </c>
      <c r="K79" s="12">
        <v>69</v>
      </c>
      <c r="O79" s="12">
        <v>5</v>
      </c>
      <c r="Q79" s="12">
        <v>1409</v>
      </c>
      <c r="R79" s="12">
        <v>196</v>
      </c>
      <c r="S79" s="12">
        <v>19</v>
      </c>
      <c r="T79" s="12">
        <v>1</v>
      </c>
    </row>
    <row r="80" spans="1:20" x14ac:dyDescent="0.25">
      <c r="A80" s="12">
        <v>336</v>
      </c>
      <c r="B80" s="11">
        <v>42282</v>
      </c>
      <c r="D80" s="11">
        <v>42283</v>
      </c>
      <c r="H80" s="12">
        <v>3</v>
      </c>
      <c r="I80" s="12">
        <v>33.045839999999998</v>
      </c>
      <c r="J80" s="12">
        <v>91.044880000000006</v>
      </c>
      <c r="K80" s="12">
        <v>69</v>
      </c>
      <c r="O80" s="12">
        <v>5</v>
      </c>
      <c r="Q80" s="12">
        <v>1409</v>
      </c>
      <c r="R80" s="12">
        <v>177</v>
      </c>
      <c r="S80" s="12">
        <v>17</v>
      </c>
      <c r="T80" s="12">
        <v>1</v>
      </c>
    </row>
    <row r="81" spans="1:20" x14ac:dyDescent="0.25">
      <c r="A81" s="12">
        <v>336</v>
      </c>
      <c r="B81" s="11">
        <v>42282</v>
      </c>
      <c r="D81" s="11">
        <v>42283</v>
      </c>
      <c r="H81" s="12">
        <v>4</v>
      </c>
      <c r="I81" s="12">
        <v>33.04665</v>
      </c>
      <c r="J81" s="12">
        <v>91.046570000000003</v>
      </c>
      <c r="K81" s="12">
        <v>70.5</v>
      </c>
      <c r="O81" s="12">
        <v>5</v>
      </c>
      <c r="Q81" s="12">
        <v>1410</v>
      </c>
      <c r="R81" s="12">
        <v>286</v>
      </c>
      <c r="S81" s="12">
        <v>28</v>
      </c>
      <c r="T81" s="12">
        <v>1</v>
      </c>
    </row>
    <row r="82" spans="1:20" x14ac:dyDescent="0.25">
      <c r="A82" s="12">
        <v>336</v>
      </c>
      <c r="B82" s="11">
        <v>42282</v>
      </c>
      <c r="D82" s="11">
        <v>42283</v>
      </c>
      <c r="H82" s="12">
        <v>4</v>
      </c>
      <c r="I82" s="12">
        <v>33.04665</v>
      </c>
      <c r="J82" s="12">
        <v>91.046570000000003</v>
      </c>
      <c r="K82" s="12">
        <v>70.5</v>
      </c>
      <c r="O82" s="12">
        <v>5</v>
      </c>
      <c r="Q82" s="12">
        <v>1410</v>
      </c>
      <c r="R82" s="12">
        <v>227</v>
      </c>
      <c r="S82" s="12">
        <v>22</v>
      </c>
      <c r="T82" s="12">
        <v>1</v>
      </c>
    </row>
    <row r="83" spans="1:20" x14ac:dyDescent="0.25">
      <c r="A83" s="12">
        <v>336</v>
      </c>
      <c r="B83" s="11">
        <v>42282</v>
      </c>
      <c r="D83" s="11">
        <v>42283</v>
      </c>
      <c r="H83" s="12">
        <v>4</v>
      </c>
      <c r="I83" s="12">
        <v>33.04665</v>
      </c>
      <c r="J83" s="12">
        <v>91.046570000000003</v>
      </c>
      <c r="K83" s="12">
        <v>70.5</v>
      </c>
      <c r="O83" s="12">
        <v>5</v>
      </c>
      <c r="Q83" s="12">
        <v>1410</v>
      </c>
      <c r="R83" s="12">
        <v>242</v>
      </c>
      <c r="S83" s="12">
        <v>24</v>
      </c>
      <c r="T83" s="12">
        <v>1</v>
      </c>
    </row>
    <row r="84" spans="1:20" x14ac:dyDescent="0.25">
      <c r="A84" s="12">
        <v>336</v>
      </c>
      <c r="B84" s="11">
        <v>42282</v>
      </c>
      <c r="D84" s="11">
        <v>42283</v>
      </c>
      <c r="H84" s="12">
        <v>4</v>
      </c>
      <c r="I84" s="12">
        <v>33.04665</v>
      </c>
      <c r="J84" s="12">
        <v>91.046570000000003</v>
      </c>
      <c r="K84" s="12">
        <v>70.5</v>
      </c>
      <c r="O84" s="12">
        <v>5</v>
      </c>
      <c r="Q84" s="12">
        <v>1410</v>
      </c>
      <c r="R84" s="12">
        <v>265</v>
      </c>
      <c r="S84" s="12">
        <v>26</v>
      </c>
      <c r="T84" s="12">
        <v>1</v>
      </c>
    </row>
    <row r="85" spans="1:20" x14ac:dyDescent="0.25">
      <c r="A85" s="12">
        <v>336</v>
      </c>
      <c r="B85" s="11">
        <v>42282</v>
      </c>
      <c r="D85" s="11">
        <v>42283</v>
      </c>
      <c r="H85" s="12">
        <v>4</v>
      </c>
      <c r="I85" s="12">
        <v>33.04665</v>
      </c>
      <c r="J85" s="12">
        <v>91.046570000000003</v>
      </c>
      <c r="K85" s="12">
        <v>70.5</v>
      </c>
      <c r="O85" s="12">
        <v>5</v>
      </c>
      <c r="Q85" s="12">
        <v>1410</v>
      </c>
      <c r="R85" s="12">
        <v>250</v>
      </c>
      <c r="S85" s="12">
        <v>25</v>
      </c>
      <c r="T85" s="12">
        <v>1</v>
      </c>
    </row>
    <row r="86" spans="1:20" x14ac:dyDescent="0.25">
      <c r="A86" s="12">
        <v>336</v>
      </c>
      <c r="B86" s="11">
        <v>42282</v>
      </c>
      <c r="D86" s="11">
        <v>42283</v>
      </c>
      <c r="H86" s="12">
        <v>4</v>
      </c>
      <c r="I86" s="12">
        <v>33.04665</v>
      </c>
      <c r="J86" s="12">
        <v>91.046570000000003</v>
      </c>
      <c r="K86" s="12">
        <v>70.5</v>
      </c>
      <c r="O86" s="12">
        <v>5</v>
      </c>
      <c r="Q86" s="12">
        <v>1410</v>
      </c>
      <c r="R86" s="12">
        <v>285</v>
      </c>
      <c r="S86" s="12">
        <v>28</v>
      </c>
      <c r="T86" s="12">
        <v>1</v>
      </c>
    </row>
    <row r="87" spans="1:20" x14ac:dyDescent="0.25">
      <c r="A87" s="12">
        <v>336</v>
      </c>
      <c r="B87" s="11">
        <v>42282</v>
      </c>
      <c r="D87" s="11">
        <v>42283</v>
      </c>
      <c r="H87" s="12">
        <v>4</v>
      </c>
      <c r="I87" s="12">
        <v>33.04665</v>
      </c>
      <c r="J87" s="12">
        <v>91.046570000000003</v>
      </c>
      <c r="K87" s="12">
        <v>70.5</v>
      </c>
      <c r="O87" s="12">
        <v>5</v>
      </c>
      <c r="Q87" s="12">
        <v>1410</v>
      </c>
      <c r="R87" s="12">
        <v>216</v>
      </c>
      <c r="S87" s="12">
        <v>21</v>
      </c>
      <c r="T87" s="12">
        <v>1</v>
      </c>
    </row>
    <row r="88" spans="1:20" x14ac:dyDescent="0.25">
      <c r="A88" s="12">
        <v>336</v>
      </c>
      <c r="B88" s="11">
        <v>42282</v>
      </c>
      <c r="D88" s="11">
        <v>42283</v>
      </c>
      <c r="H88" s="12">
        <v>4</v>
      </c>
      <c r="I88" s="12">
        <v>33.04665</v>
      </c>
      <c r="J88" s="12">
        <v>91.046570000000003</v>
      </c>
      <c r="K88" s="12">
        <v>70.5</v>
      </c>
      <c r="O88" s="12">
        <v>5</v>
      </c>
      <c r="Q88" s="12">
        <v>1410</v>
      </c>
      <c r="R88" s="12">
        <v>245</v>
      </c>
      <c r="S88" s="12">
        <v>24</v>
      </c>
      <c r="T88" s="12">
        <v>1</v>
      </c>
    </row>
    <row r="89" spans="1:20" x14ac:dyDescent="0.25">
      <c r="A89" s="12">
        <v>336</v>
      </c>
      <c r="B89" s="11">
        <v>42282</v>
      </c>
      <c r="D89" s="11">
        <v>42283</v>
      </c>
      <c r="H89" s="12">
        <v>4</v>
      </c>
      <c r="I89" s="12">
        <v>33.04665</v>
      </c>
      <c r="J89" s="12">
        <v>91.046570000000003</v>
      </c>
      <c r="K89" s="12">
        <v>70.5</v>
      </c>
      <c r="O89" s="12">
        <v>5</v>
      </c>
      <c r="Q89" s="12">
        <v>1410</v>
      </c>
      <c r="R89" s="12">
        <v>263</v>
      </c>
      <c r="S89" s="12">
        <v>26</v>
      </c>
      <c r="T89" s="12">
        <v>1</v>
      </c>
    </row>
    <row r="90" spans="1:20" x14ac:dyDescent="0.25">
      <c r="A90" s="12">
        <v>336</v>
      </c>
      <c r="B90" s="11">
        <v>42282</v>
      </c>
      <c r="D90" s="11">
        <v>42283</v>
      </c>
      <c r="H90" s="12">
        <v>4</v>
      </c>
      <c r="I90" s="12">
        <v>33.04665</v>
      </c>
      <c r="J90" s="12">
        <v>91.046570000000003</v>
      </c>
      <c r="K90" s="12">
        <v>70.5</v>
      </c>
      <c r="O90" s="12">
        <v>5</v>
      </c>
      <c r="Q90" s="12">
        <v>1410</v>
      </c>
      <c r="R90" s="12">
        <v>224</v>
      </c>
      <c r="S90" s="12">
        <v>22</v>
      </c>
      <c r="T90" s="12">
        <v>1</v>
      </c>
    </row>
    <row r="91" spans="1:20" x14ac:dyDescent="0.25">
      <c r="A91" s="12">
        <v>336</v>
      </c>
      <c r="B91" s="11">
        <v>42282</v>
      </c>
      <c r="D91" s="11">
        <v>42283</v>
      </c>
      <c r="H91" s="12">
        <v>4</v>
      </c>
      <c r="I91" s="12">
        <v>33.04665</v>
      </c>
      <c r="J91" s="12">
        <v>91.046570000000003</v>
      </c>
      <c r="K91" s="12">
        <v>70.5</v>
      </c>
      <c r="O91" s="12">
        <v>5</v>
      </c>
      <c r="Q91" s="12">
        <v>1410</v>
      </c>
      <c r="R91" s="12">
        <v>210</v>
      </c>
      <c r="S91" s="12">
        <v>21</v>
      </c>
      <c r="T91" s="12">
        <v>1</v>
      </c>
    </row>
    <row r="92" spans="1:20" x14ac:dyDescent="0.25">
      <c r="A92" s="12">
        <v>336</v>
      </c>
      <c r="B92" s="11">
        <v>42282</v>
      </c>
      <c r="D92" s="11">
        <v>42283</v>
      </c>
      <c r="H92" s="12">
        <v>4</v>
      </c>
      <c r="I92" s="12">
        <v>33.04665</v>
      </c>
      <c r="J92" s="12">
        <v>91.046570000000003</v>
      </c>
      <c r="K92" s="12">
        <v>70.5</v>
      </c>
      <c r="O92" s="12">
        <v>5</v>
      </c>
      <c r="Q92" s="12">
        <v>1410</v>
      </c>
      <c r="R92" s="12">
        <v>194</v>
      </c>
      <c r="S92" s="12">
        <v>19</v>
      </c>
      <c r="T92" s="12">
        <v>1</v>
      </c>
    </row>
    <row r="93" spans="1:20" x14ac:dyDescent="0.25">
      <c r="A93" s="12">
        <v>336</v>
      </c>
      <c r="B93" s="11">
        <v>42282</v>
      </c>
      <c r="D93" s="11">
        <v>42283</v>
      </c>
      <c r="H93" s="12">
        <v>4</v>
      </c>
      <c r="I93" s="12">
        <v>33.04665</v>
      </c>
      <c r="J93" s="12">
        <v>91.046570000000003</v>
      </c>
      <c r="K93" s="12">
        <v>70.5</v>
      </c>
      <c r="O93" s="12">
        <v>5</v>
      </c>
      <c r="Q93" s="12">
        <v>1409</v>
      </c>
      <c r="R93" s="12">
        <v>371</v>
      </c>
      <c r="S93" s="12">
        <v>37</v>
      </c>
      <c r="T93" s="12">
        <v>1</v>
      </c>
    </row>
    <row r="94" spans="1:20" x14ac:dyDescent="0.25">
      <c r="A94" s="12">
        <v>336</v>
      </c>
      <c r="B94" s="11">
        <v>42282</v>
      </c>
      <c r="D94" s="11">
        <v>42283</v>
      </c>
      <c r="H94" s="12">
        <v>4</v>
      </c>
      <c r="I94" s="12">
        <v>33.04665</v>
      </c>
      <c r="J94" s="12">
        <v>91.046570000000003</v>
      </c>
      <c r="K94" s="12">
        <v>70.5</v>
      </c>
      <c r="O94" s="12">
        <v>5</v>
      </c>
      <c r="Q94" s="12">
        <v>1409</v>
      </c>
      <c r="R94" s="12">
        <v>265</v>
      </c>
      <c r="S94" s="12">
        <v>26</v>
      </c>
      <c r="T94" s="12">
        <v>1</v>
      </c>
    </row>
    <row r="95" spans="1:20" x14ac:dyDescent="0.25">
      <c r="A95" s="12">
        <v>336</v>
      </c>
      <c r="B95" s="11">
        <v>42282</v>
      </c>
      <c r="D95" s="11">
        <v>42283</v>
      </c>
      <c r="H95" s="12">
        <v>4</v>
      </c>
      <c r="I95" s="12">
        <v>33.04665</v>
      </c>
      <c r="J95" s="12">
        <v>91.046570000000003</v>
      </c>
      <c r="K95" s="12">
        <v>70.5</v>
      </c>
      <c r="O95" s="12">
        <v>5</v>
      </c>
      <c r="Q95" s="12">
        <v>1409</v>
      </c>
      <c r="R95" s="12">
        <v>190</v>
      </c>
      <c r="S95" s="12">
        <v>19</v>
      </c>
      <c r="T95" s="12">
        <v>1</v>
      </c>
    </row>
    <row r="96" spans="1:20" x14ac:dyDescent="0.25">
      <c r="A96" s="12">
        <v>336</v>
      </c>
      <c r="B96" s="11">
        <v>42282</v>
      </c>
      <c r="D96" s="11">
        <v>42283</v>
      </c>
      <c r="H96" s="12">
        <v>4</v>
      </c>
      <c r="I96" s="12">
        <v>33.04665</v>
      </c>
      <c r="J96" s="12">
        <v>91.046570000000003</v>
      </c>
      <c r="K96" s="12">
        <v>70.5</v>
      </c>
      <c r="O96" s="12">
        <v>5</v>
      </c>
      <c r="Q96" s="12">
        <v>1409</v>
      </c>
      <c r="R96" s="12">
        <v>203</v>
      </c>
      <c r="S96" s="12">
        <v>20</v>
      </c>
      <c r="T96" s="12">
        <v>1</v>
      </c>
    </row>
    <row r="97" spans="1:20" x14ac:dyDescent="0.25">
      <c r="A97" s="12">
        <v>336</v>
      </c>
      <c r="B97" s="11">
        <v>42282</v>
      </c>
      <c r="D97" s="11">
        <v>42283</v>
      </c>
      <c r="H97" s="12">
        <v>4</v>
      </c>
      <c r="I97" s="12">
        <v>33.04665</v>
      </c>
      <c r="J97" s="12">
        <v>91.046570000000003</v>
      </c>
      <c r="K97" s="12">
        <v>70.5</v>
      </c>
      <c r="O97" s="12">
        <v>5</v>
      </c>
      <c r="Q97" s="12">
        <v>1409</v>
      </c>
      <c r="R97" s="12">
        <v>230</v>
      </c>
      <c r="S97" s="12">
        <v>23</v>
      </c>
      <c r="T97" s="12">
        <v>1</v>
      </c>
    </row>
    <row r="98" spans="1:20" x14ac:dyDescent="0.25">
      <c r="A98" s="12">
        <v>336</v>
      </c>
      <c r="B98" s="11">
        <v>42282</v>
      </c>
      <c r="D98" s="11">
        <v>42283</v>
      </c>
      <c r="H98" s="12">
        <v>4</v>
      </c>
      <c r="I98" s="12">
        <v>33.04665</v>
      </c>
      <c r="J98" s="12">
        <v>91.046570000000003</v>
      </c>
      <c r="K98" s="12">
        <v>70.5</v>
      </c>
      <c r="O98" s="12">
        <v>5</v>
      </c>
      <c r="Q98" s="12">
        <v>1409</v>
      </c>
      <c r="R98" s="12">
        <v>135</v>
      </c>
      <c r="S98" s="12">
        <v>13</v>
      </c>
      <c r="T98" s="12">
        <v>1</v>
      </c>
    </row>
    <row r="99" spans="1:20" x14ac:dyDescent="0.25">
      <c r="A99" s="12">
        <v>336</v>
      </c>
      <c r="B99" s="11">
        <v>42282</v>
      </c>
      <c r="D99" s="11">
        <v>42283</v>
      </c>
      <c r="H99" s="12">
        <v>4</v>
      </c>
      <c r="I99" s="12">
        <v>33.04665</v>
      </c>
      <c r="J99" s="12">
        <v>91.046570000000003</v>
      </c>
      <c r="K99" s="12">
        <v>70.5</v>
      </c>
      <c r="O99" s="12">
        <v>5</v>
      </c>
      <c r="Q99" s="12">
        <v>1409</v>
      </c>
      <c r="R99" s="12">
        <v>190</v>
      </c>
      <c r="S99" s="12">
        <v>19</v>
      </c>
      <c r="T99" s="12">
        <v>1</v>
      </c>
    </row>
    <row r="100" spans="1:20" x14ac:dyDescent="0.25">
      <c r="A100" s="12">
        <v>336</v>
      </c>
      <c r="B100" s="11">
        <v>42282</v>
      </c>
      <c r="D100" s="11">
        <v>42283</v>
      </c>
      <c r="H100" s="12">
        <v>4</v>
      </c>
      <c r="I100" s="12">
        <v>33.04665</v>
      </c>
      <c r="J100" s="12">
        <v>91.046570000000003</v>
      </c>
      <c r="K100" s="12">
        <v>70.5</v>
      </c>
      <c r="O100" s="12">
        <v>5</v>
      </c>
      <c r="Q100" s="12">
        <v>1409</v>
      </c>
      <c r="R100" s="12">
        <v>197</v>
      </c>
      <c r="S100" s="12">
        <v>19</v>
      </c>
      <c r="T100" s="12">
        <v>1</v>
      </c>
    </row>
    <row r="101" spans="1:20" x14ac:dyDescent="0.25">
      <c r="A101" s="12">
        <v>336</v>
      </c>
      <c r="B101" s="11">
        <v>42282</v>
      </c>
      <c r="D101" s="11">
        <v>42283</v>
      </c>
      <c r="H101" s="12">
        <v>4</v>
      </c>
      <c r="I101" s="12">
        <v>33.04665</v>
      </c>
      <c r="J101" s="12">
        <v>91.046570000000003</v>
      </c>
      <c r="K101" s="12">
        <v>70.5</v>
      </c>
      <c r="O101" s="12">
        <v>5</v>
      </c>
      <c r="Q101" s="12">
        <v>1409</v>
      </c>
      <c r="R101" s="12">
        <v>226</v>
      </c>
      <c r="S101" s="12">
        <v>22</v>
      </c>
      <c r="T101" s="12">
        <v>1</v>
      </c>
    </row>
    <row r="102" spans="1:20" x14ac:dyDescent="0.25">
      <c r="A102" s="12">
        <v>336</v>
      </c>
      <c r="B102" s="11">
        <v>42282</v>
      </c>
      <c r="D102" s="11">
        <v>42283</v>
      </c>
      <c r="H102" s="12">
        <v>4</v>
      </c>
      <c r="I102" s="12">
        <v>33.04665</v>
      </c>
      <c r="J102" s="12">
        <v>91.046570000000003</v>
      </c>
      <c r="K102" s="12">
        <v>70.5</v>
      </c>
      <c r="O102" s="12">
        <v>5</v>
      </c>
      <c r="Q102" s="12">
        <v>1409</v>
      </c>
      <c r="R102" s="12">
        <v>197</v>
      </c>
      <c r="S102" s="12">
        <v>19</v>
      </c>
      <c r="T102" s="12">
        <v>1</v>
      </c>
    </row>
    <row r="103" spans="1:20" x14ac:dyDescent="0.25">
      <c r="A103" s="12">
        <v>336</v>
      </c>
      <c r="B103" s="11">
        <v>42282</v>
      </c>
      <c r="D103" s="11">
        <v>42283</v>
      </c>
      <c r="H103" s="12">
        <v>4</v>
      </c>
      <c r="I103" s="12">
        <v>33.04665</v>
      </c>
      <c r="J103" s="12">
        <v>91.046570000000003</v>
      </c>
      <c r="K103" s="12">
        <v>70.5</v>
      </c>
      <c r="O103" s="12">
        <v>5</v>
      </c>
      <c r="Q103" s="12">
        <v>1409</v>
      </c>
      <c r="R103" s="12">
        <v>154</v>
      </c>
      <c r="S103" s="12">
        <v>15</v>
      </c>
      <c r="T103" s="12">
        <v>1</v>
      </c>
    </row>
    <row r="104" spans="1:20" x14ac:dyDescent="0.25">
      <c r="A104" s="12">
        <v>336</v>
      </c>
      <c r="B104" s="11">
        <v>42282</v>
      </c>
      <c r="D104" s="11">
        <v>42283</v>
      </c>
      <c r="H104" s="12">
        <v>4</v>
      </c>
      <c r="I104" s="12">
        <v>33.04665</v>
      </c>
      <c r="J104" s="12">
        <v>91.046570000000003</v>
      </c>
      <c r="K104" s="12">
        <v>70.5</v>
      </c>
      <c r="O104" s="12">
        <v>5</v>
      </c>
      <c r="Q104" s="12">
        <v>1409</v>
      </c>
      <c r="R104" s="12">
        <v>195</v>
      </c>
      <c r="S104" s="12">
        <v>19</v>
      </c>
      <c r="T104" s="12">
        <v>1</v>
      </c>
    </row>
    <row r="105" spans="1:20" x14ac:dyDescent="0.25">
      <c r="A105" s="12">
        <v>336</v>
      </c>
      <c r="B105" s="11">
        <v>42282</v>
      </c>
      <c r="D105" s="11">
        <v>42283</v>
      </c>
      <c r="H105" s="12">
        <v>4</v>
      </c>
      <c r="I105" s="12">
        <v>33.04665</v>
      </c>
      <c r="J105" s="12">
        <v>91.046570000000003</v>
      </c>
      <c r="K105" s="12">
        <v>70.5</v>
      </c>
      <c r="O105" s="12">
        <v>5</v>
      </c>
      <c r="Q105" s="12">
        <v>216</v>
      </c>
      <c r="R105" s="12">
        <v>607</v>
      </c>
      <c r="S105" s="12">
        <v>60</v>
      </c>
      <c r="T105" s="12">
        <v>1</v>
      </c>
    </row>
    <row r="106" spans="1:20" x14ac:dyDescent="0.25">
      <c r="A106" s="12">
        <v>336</v>
      </c>
      <c r="B106" s="11">
        <v>42282</v>
      </c>
      <c r="D106" s="11">
        <v>42283</v>
      </c>
      <c r="H106" s="12">
        <v>4</v>
      </c>
      <c r="I106" s="12">
        <v>33.04665</v>
      </c>
      <c r="J106" s="12">
        <v>91.046570000000003</v>
      </c>
      <c r="K106" s="12">
        <v>70.5</v>
      </c>
      <c r="O106" s="12">
        <v>5</v>
      </c>
      <c r="Q106" s="12">
        <v>216</v>
      </c>
      <c r="R106" s="12">
        <v>560</v>
      </c>
      <c r="S106" s="12">
        <v>56</v>
      </c>
      <c r="T106" s="12">
        <v>1</v>
      </c>
    </row>
    <row r="107" spans="1:20" x14ac:dyDescent="0.25">
      <c r="A107" s="12">
        <v>336</v>
      </c>
      <c r="B107" s="11">
        <v>42282</v>
      </c>
      <c r="D107" s="11">
        <v>42283</v>
      </c>
      <c r="H107" s="12">
        <v>4</v>
      </c>
      <c r="I107" s="12">
        <v>33.04665</v>
      </c>
      <c r="J107" s="12">
        <v>91.046570000000003</v>
      </c>
      <c r="K107" s="12">
        <v>70.5</v>
      </c>
      <c r="O107" s="12">
        <v>5</v>
      </c>
      <c r="Q107" s="12">
        <v>216</v>
      </c>
      <c r="R107" s="12">
        <v>587</v>
      </c>
      <c r="S107" s="12">
        <v>58</v>
      </c>
      <c r="T107" s="12">
        <v>1</v>
      </c>
    </row>
    <row r="108" spans="1:20" x14ac:dyDescent="0.25">
      <c r="A108" s="12">
        <v>336</v>
      </c>
      <c r="B108" s="11">
        <v>42282</v>
      </c>
      <c r="D108" s="11">
        <v>42283</v>
      </c>
      <c r="H108" s="12">
        <v>4</v>
      </c>
      <c r="I108" s="12">
        <v>33.04665</v>
      </c>
      <c r="J108" s="12">
        <v>91.046570000000003</v>
      </c>
      <c r="K108" s="12">
        <v>70.5</v>
      </c>
      <c r="O108" s="12">
        <v>5</v>
      </c>
      <c r="Q108" s="12">
        <v>1758</v>
      </c>
      <c r="R108" s="12">
        <v>253</v>
      </c>
      <c r="S108" s="12">
        <v>25</v>
      </c>
      <c r="T108" s="12">
        <v>1</v>
      </c>
    </row>
    <row r="109" spans="1:20" x14ac:dyDescent="0.25">
      <c r="A109" s="12">
        <v>336</v>
      </c>
      <c r="B109" s="11">
        <v>42282</v>
      </c>
      <c r="D109" s="11">
        <v>42283</v>
      </c>
      <c r="H109" s="12">
        <v>4</v>
      </c>
      <c r="I109" s="12">
        <v>33.04665</v>
      </c>
      <c r="J109" s="12">
        <v>91.046570000000003</v>
      </c>
      <c r="K109" s="12">
        <v>70.5</v>
      </c>
      <c r="O109" s="12">
        <v>5</v>
      </c>
      <c r="Q109" s="12">
        <v>1307</v>
      </c>
      <c r="R109" s="12">
        <v>182</v>
      </c>
      <c r="S109" s="12">
        <v>18</v>
      </c>
      <c r="T109" s="12">
        <v>1</v>
      </c>
    </row>
    <row r="110" spans="1:20" x14ac:dyDescent="0.25">
      <c r="A110" s="12">
        <v>336</v>
      </c>
      <c r="B110" s="11">
        <v>42282</v>
      </c>
      <c r="D110" s="11">
        <v>42283</v>
      </c>
      <c r="H110" s="12">
        <v>4</v>
      </c>
      <c r="I110" s="12">
        <v>33.04665</v>
      </c>
      <c r="J110" s="12">
        <v>91.046570000000003</v>
      </c>
      <c r="K110" s="12">
        <v>70.5</v>
      </c>
      <c r="O110" s="12">
        <v>5</v>
      </c>
      <c r="Q110" s="12">
        <v>1397</v>
      </c>
      <c r="R110" s="12">
        <v>120</v>
      </c>
      <c r="S110" s="12">
        <v>12</v>
      </c>
      <c r="T110" s="12">
        <v>1</v>
      </c>
    </row>
    <row r="111" spans="1:20" x14ac:dyDescent="0.25">
      <c r="A111" s="12">
        <v>336</v>
      </c>
      <c r="B111" s="11">
        <v>42282</v>
      </c>
      <c r="D111" s="11">
        <v>42283</v>
      </c>
      <c r="H111" s="12">
        <v>5</v>
      </c>
      <c r="I111" s="12">
        <v>33.051250000000003</v>
      </c>
      <c r="J111" s="12">
        <v>91.043700000000001</v>
      </c>
      <c r="K111" s="12">
        <v>21.8</v>
      </c>
      <c r="O111" s="12">
        <v>3</v>
      </c>
      <c r="Q111" s="12">
        <v>1410</v>
      </c>
      <c r="R111" s="12">
        <v>218</v>
      </c>
      <c r="S111" s="12">
        <v>21</v>
      </c>
      <c r="T111" s="12">
        <v>1</v>
      </c>
    </row>
    <row r="112" spans="1:20" x14ac:dyDescent="0.25">
      <c r="A112" s="12">
        <v>336</v>
      </c>
      <c r="B112" s="11">
        <v>42282</v>
      </c>
      <c r="D112" s="11">
        <v>42283</v>
      </c>
      <c r="H112" s="12">
        <v>5</v>
      </c>
      <c r="I112" s="12">
        <v>33.051250000000003</v>
      </c>
      <c r="J112" s="12">
        <v>91.043700000000001</v>
      </c>
      <c r="K112" s="12">
        <v>21.8</v>
      </c>
      <c r="O112" s="12">
        <v>3</v>
      </c>
      <c r="Q112" s="12">
        <v>1410</v>
      </c>
      <c r="R112" s="12">
        <v>255</v>
      </c>
      <c r="S112" s="12">
        <v>25</v>
      </c>
      <c r="T112" s="12">
        <v>1</v>
      </c>
    </row>
    <row r="113" spans="1:20" x14ac:dyDescent="0.25">
      <c r="A113" s="12">
        <v>336</v>
      </c>
      <c r="B113" s="11">
        <v>42282</v>
      </c>
      <c r="D113" s="11">
        <v>42283</v>
      </c>
      <c r="H113" s="12">
        <v>5</v>
      </c>
      <c r="I113" s="12">
        <v>33.051250000000003</v>
      </c>
      <c r="J113" s="12">
        <v>91.043700000000001</v>
      </c>
      <c r="K113" s="12">
        <v>21.8</v>
      </c>
      <c r="O113" s="12">
        <v>3</v>
      </c>
      <c r="Q113" s="12">
        <v>1410</v>
      </c>
      <c r="R113" s="12">
        <v>213</v>
      </c>
      <c r="S113" s="12">
        <v>21</v>
      </c>
      <c r="T113" s="12">
        <v>1</v>
      </c>
    </row>
    <row r="114" spans="1:20" x14ac:dyDescent="0.25">
      <c r="A114" s="12">
        <v>336</v>
      </c>
      <c r="B114" s="11">
        <v>42282</v>
      </c>
      <c r="D114" s="11">
        <v>42283</v>
      </c>
      <c r="H114" s="12">
        <v>5</v>
      </c>
      <c r="I114" s="12">
        <v>33.051250000000003</v>
      </c>
      <c r="J114" s="12">
        <v>91.043700000000001</v>
      </c>
      <c r="K114" s="12">
        <v>21.8</v>
      </c>
      <c r="O114" s="12">
        <v>3</v>
      </c>
      <c r="Q114" s="12">
        <v>1410</v>
      </c>
      <c r="R114" s="12">
        <v>235</v>
      </c>
      <c r="S114" s="12">
        <v>23</v>
      </c>
      <c r="T114" s="12">
        <v>1</v>
      </c>
    </row>
    <row r="115" spans="1:20" x14ac:dyDescent="0.25">
      <c r="A115" s="12">
        <v>336</v>
      </c>
      <c r="B115" s="11">
        <v>42282</v>
      </c>
      <c r="D115" s="11">
        <v>42283</v>
      </c>
      <c r="H115" s="12">
        <v>5</v>
      </c>
      <c r="I115" s="12">
        <v>33.051250000000003</v>
      </c>
      <c r="J115" s="12">
        <v>91.043700000000001</v>
      </c>
      <c r="K115" s="12">
        <v>21.8</v>
      </c>
      <c r="O115" s="12">
        <v>3</v>
      </c>
      <c r="Q115" s="12">
        <v>1410</v>
      </c>
      <c r="R115" s="12">
        <v>240</v>
      </c>
      <c r="S115" s="12">
        <v>24</v>
      </c>
      <c r="T115" s="12">
        <v>1</v>
      </c>
    </row>
    <row r="116" spans="1:20" x14ac:dyDescent="0.25">
      <c r="A116" s="12">
        <v>336</v>
      </c>
      <c r="B116" s="11">
        <v>42282</v>
      </c>
      <c r="D116" s="11">
        <v>42283</v>
      </c>
      <c r="H116" s="12">
        <v>5</v>
      </c>
      <c r="I116" s="12">
        <v>33.051250000000003</v>
      </c>
      <c r="J116" s="12">
        <v>91.043700000000001</v>
      </c>
      <c r="K116" s="12">
        <v>21.8</v>
      </c>
      <c r="O116" s="12">
        <v>3</v>
      </c>
      <c r="Q116" s="12">
        <v>1410</v>
      </c>
      <c r="R116" s="12">
        <v>254</v>
      </c>
      <c r="S116" s="12">
        <v>25</v>
      </c>
      <c r="T116" s="12">
        <v>1</v>
      </c>
    </row>
    <row r="117" spans="1:20" x14ac:dyDescent="0.25">
      <c r="A117" s="12">
        <v>336</v>
      </c>
      <c r="B117" s="11">
        <v>42282</v>
      </c>
      <c r="D117" s="11">
        <v>42283</v>
      </c>
      <c r="H117" s="12">
        <v>5</v>
      </c>
      <c r="I117" s="12">
        <v>33.051250000000003</v>
      </c>
      <c r="J117" s="12">
        <v>91.043700000000001</v>
      </c>
      <c r="K117" s="12">
        <v>21.8</v>
      </c>
      <c r="O117" s="12">
        <v>3</v>
      </c>
      <c r="Q117" s="12">
        <v>1410</v>
      </c>
      <c r="R117" s="12">
        <v>258</v>
      </c>
      <c r="S117" s="12">
        <v>25</v>
      </c>
      <c r="T117" s="12">
        <v>1</v>
      </c>
    </row>
    <row r="118" spans="1:20" x14ac:dyDescent="0.25">
      <c r="A118" s="12">
        <v>336</v>
      </c>
      <c r="B118" s="11">
        <v>42282</v>
      </c>
      <c r="D118" s="11">
        <v>42283</v>
      </c>
      <c r="H118" s="12">
        <v>5</v>
      </c>
      <c r="I118" s="12">
        <v>33.051250000000003</v>
      </c>
      <c r="J118" s="12">
        <v>91.043700000000001</v>
      </c>
      <c r="K118" s="12">
        <v>21.8</v>
      </c>
      <c r="O118" s="12">
        <v>3</v>
      </c>
      <c r="Q118" s="12">
        <v>1410</v>
      </c>
      <c r="R118" s="12">
        <v>290</v>
      </c>
      <c r="S118" s="12">
        <v>29</v>
      </c>
      <c r="T118" s="12">
        <v>1</v>
      </c>
    </row>
    <row r="119" spans="1:20" x14ac:dyDescent="0.25">
      <c r="A119" s="12">
        <v>336</v>
      </c>
      <c r="B119" s="11">
        <v>42282</v>
      </c>
      <c r="D119" s="11">
        <v>42283</v>
      </c>
      <c r="H119" s="12">
        <v>5</v>
      </c>
      <c r="I119" s="12">
        <v>33.051250000000003</v>
      </c>
      <c r="J119" s="12">
        <v>91.043700000000001</v>
      </c>
      <c r="K119" s="12">
        <v>21.8</v>
      </c>
      <c r="O119" s="12">
        <v>3</v>
      </c>
      <c r="Q119" s="12">
        <v>1410</v>
      </c>
      <c r="R119" s="12">
        <v>307</v>
      </c>
      <c r="S119" s="12">
        <v>30</v>
      </c>
      <c r="T119" s="12">
        <v>1</v>
      </c>
    </row>
    <row r="120" spans="1:20" x14ac:dyDescent="0.25">
      <c r="A120" s="12">
        <v>336</v>
      </c>
      <c r="B120" s="11">
        <v>42282</v>
      </c>
      <c r="D120" s="11">
        <v>42283</v>
      </c>
      <c r="H120" s="12">
        <v>5</v>
      </c>
      <c r="I120" s="12">
        <v>33.051250000000003</v>
      </c>
      <c r="J120" s="12">
        <v>91.043700000000001</v>
      </c>
      <c r="K120" s="12">
        <v>21.8</v>
      </c>
      <c r="O120" s="12">
        <v>3</v>
      </c>
      <c r="Q120" s="12">
        <v>1410</v>
      </c>
      <c r="R120" s="12">
        <v>210</v>
      </c>
      <c r="S120" s="12">
        <v>21</v>
      </c>
      <c r="T120" s="12">
        <v>1</v>
      </c>
    </row>
    <row r="121" spans="1:20" x14ac:dyDescent="0.25">
      <c r="A121" s="12">
        <v>336</v>
      </c>
      <c r="B121" s="11">
        <v>42282</v>
      </c>
      <c r="D121" s="11">
        <v>42283</v>
      </c>
      <c r="H121" s="12">
        <v>5</v>
      </c>
      <c r="I121" s="12">
        <v>33.051250000000003</v>
      </c>
      <c r="J121" s="12">
        <v>91.043700000000001</v>
      </c>
      <c r="K121" s="12">
        <v>21.8</v>
      </c>
      <c r="O121" s="12">
        <v>3</v>
      </c>
      <c r="Q121" s="12">
        <v>1410</v>
      </c>
      <c r="R121" s="12">
        <v>240</v>
      </c>
      <c r="S121" s="12">
        <v>24</v>
      </c>
      <c r="T121" s="12">
        <v>1</v>
      </c>
    </row>
    <row r="122" spans="1:20" x14ac:dyDescent="0.25">
      <c r="A122" s="12">
        <v>336</v>
      </c>
      <c r="B122" s="11">
        <v>42282</v>
      </c>
      <c r="D122" s="11">
        <v>42283</v>
      </c>
      <c r="H122" s="12">
        <v>5</v>
      </c>
      <c r="I122" s="12">
        <v>33.051250000000003</v>
      </c>
      <c r="J122" s="12">
        <v>91.043700000000001</v>
      </c>
      <c r="K122" s="12">
        <v>21.8</v>
      </c>
      <c r="O122" s="12">
        <v>3</v>
      </c>
      <c r="Q122" s="12">
        <v>1410</v>
      </c>
      <c r="R122" s="12">
        <v>164</v>
      </c>
      <c r="S122" s="12">
        <v>16</v>
      </c>
      <c r="T122" s="12">
        <v>1</v>
      </c>
    </row>
    <row r="123" spans="1:20" x14ac:dyDescent="0.25">
      <c r="A123" s="12">
        <v>336</v>
      </c>
      <c r="B123" s="11">
        <v>42282</v>
      </c>
      <c r="D123" s="11">
        <v>42283</v>
      </c>
      <c r="H123" s="12">
        <v>5</v>
      </c>
      <c r="I123" s="12">
        <v>33.051250000000003</v>
      </c>
      <c r="J123" s="12">
        <v>91.043700000000001</v>
      </c>
      <c r="K123" s="12">
        <v>21.8</v>
      </c>
      <c r="O123" s="12">
        <v>3</v>
      </c>
      <c r="Q123" s="12">
        <v>1410</v>
      </c>
      <c r="R123" s="12">
        <v>309</v>
      </c>
      <c r="S123" s="12">
        <v>30</v>
      </c>
      <c r="T123" s="12">
        <v>1</v>
      </c>
    </row>
    <row r="124" spans="1:20" x14ac:dyDescent="0.25">
      <c r="A124" s="12">
        <v>336</v>
      </c>
      <c r="B124" s="11">
        <v>42282</v>
      </c>
      <c r="D124" s="11">
        <v>42283</v>
      </c>
      <c r="H124" s="12">
        <v>5</v>
      </c>
      <c r="I124" s="12">
        <v>33.051250000000003</v>
      </c>
      <c r="J124" s="12">
        <v>91.043700000000001</v>
      </c>
      <c r="K124" s="12">
        <v>21.8</v>
      </c>
      <c r="O124" s="12">
        <v>3</v>
      </c>
      <c r="Q124" s="12">
        <v>1410</v>
      </c>
      <c r="R124" s="12">
        <v>290</v>
      </c>
      <c r="S124" s="12">
        <v>29</v>
      </c>
      <c r="T124" s="12">
        <v>1</v>
      </c>
    </row>
    <row r="125" spans="1:20" x14ac:dyDescent="0.25">
      <c r="A125" s="12">
        <v>336</v>
      </c>
      <c r="B125" s="11">
        <v>42282</v>
      </c>
      <c r="D125" s="11">
        <v>42283</v>
      </c>
      <c r="H125" s="12">
        <v>5</v>
      </c>
      <c r="I125" s="12">
        <v>33.051250000000003</v>
      </c>
      <c r="J125" s="12">
        <v>91.043700000000001</v>
      </c>
      <c r="K125" s="12">
        <v>21.8</v>
      </c>
      <c r="O125" s="12">
        <v>3</v>
      </c>
      <c r="Q125" s="12">
        <v>1410</v>
      </c>
      <c r="R125" s="12">
        <v>265</v>
      </c>
      <c r="S125" s="12">
        <v>26</v>
      </c>
      <c r="T125" s="12">
        <v>1</v>
      </c>
    </row>
    <row r="126" spans="1:20" x14ac:dyDescent="0.25">
      <c r="A126" s="12">
        <v>336</v>
      </c>
      <c r="B126" s="11">
        <v>42282</v>
      </c>
      <c r="D126" s="11">
        <v>42283</v>
      </c>
      <c r="H126" s="12">
        <v>5</v>
      </c>
      <c r="I126" s="12">
        <v>33.051250000000003</v>
      </c>
      <c r="J126" s="12">
        <v>91.043700000000001</v>
      </c>
      <c r="K126" s="12">
        <v>21.8</v>
      </c>
      <c r="O126" s="12">
        <v>3</v>
      </c>
      <c r="Q126" s="12">
        <v>1410</v>
      </c>
      <c r="R126" s="12">
        <v>244</v>
      </c>
      <c r="S126" s="12">
        <v>24</v>
      </c>
      <c r="T126" s="12">
        <v>1</v>
      </c>
    </row>
    <row r="127" spans="1:20" x14ac:dyDescent="0.25">
      <c r="A127" s="12">
        <v>336</v>
      </c>
      <c r="B127" s="11">
        <v>42282</v>
      </c>
      <c r="D127" s="11">
        <v>42283</v>
      </c>
      <c r="H127" s="12">
        <v>5</v>
      </c>
      <c r="I127" s="12">
        <v>33.051250000000003</v>
      </c>
      <c r="J127" s="12">
        <v>91.043700000000001</v>
      </c>
      <c r="K127" s="12">
        <v>21.8</v>
      </c>
      <c r="O127" s="12">
        <v>3</v>
      </c>
      <c r="Q127" s="12">
        <v>1410</v>
      </c>
      <c r="R127" s="12">
        <v>250</v>
      </c>
      <c r="S127" s="12">
        <v>25</v>
      </c>
      <c r="T127" s="12">
        <v>1</v>
      </c>
    </row>
    <row r="128" spans="1:20" x14ac:dyDescent="0.25">
      <c r="A128" s="12">
        <v>336</v>
      </c>
      <c r="B128" s="11">
        <v>42282</v>
      </c>
      <c r="D128" s="11">
        <v>42283</v>
      </c>
      <c r="H128" s="12">
        <v>5</v>
      </c>
      <c r="I128" s="12">
        <v>33.051250000000003</v>
      </c>
      <c r="J128" s="12">
        <v>91.043700000000001</v>
      </c>
      <c r="K128" s="12">
        <v>21.8</v>
      </c>
      <c r="O128" s="12">
        <v>3</v>
      </c>
      <c r="Q128" s="12">
        <v>1410</v>
      </c>
      <c r="R128" s="12">
        <v>221</v>
      </c>
      <c r="S128" s="12">
        <v>22</v>
      </c>
      <c r="T128" s="12">
        <v>1</v>
      </c>
    </row>
    <row r="129" spans="1:20" x14ac:dyDescent="0.25">
      <c r="A129" s="12">
        <v>336</v>
      </c>
      <c r="B129" s="11">
        <v>42282</v>
      </c>
      <c r="D129" s="11">
        <v>42283</v>
      </c>
      <c r="H129" s="12">
        <v>5</v>
      </c>
      <c r="I129" s="12">
        <v>33.051250000000003</v>
      </c>
      <c r="J129" s="12">
        <v>91.043700000000001</v>
      </c>
      <c r="K129" s="12">
        <v>21.8</v>
      </c>
      <c r="O129" s="12">
        <v>3</v>
      </c>
      <c r="Q129" s="12">
        <v>1410</v>
      </c>
      <c r="R129" s="12">
        <v>228</v>
      </c>
      <c r="S129" s="12">
        <v>22</v>
      </c>
      <c r="T129" s="12">
        <v>1</v>
      </c>
    </row>
    <row r="130" spans="1:20" x14ac:dyDescent="0.25">
      <c r="A130" s="12">
        <v>336</v>
      </c>
      <c r="B130" s="11">
        <v>42282</v>
      </c>
      <c r="D130" s="11">
        <v>42283</v>
      </c>
      <c r="H130" s="12">
        <v>5</v>
      </c>
      <c r="I130" s="12">
        <v>33.051250000000003</v>
      </c>
      <c r="J130" s="12">
        <v>91.043700000000001</v>
      </c>
      <c r="K130" s="12">
        <v>21.8</v>
      </c>
      <c r="O130" s="12">
        <v>3</v>
      </c>
      <c r="Q130" s="12">
        <v>1410</v>
      </c>
      <c r="R130" s="12">
        <v>200</v>
      </c>
      <c r="S130" s="12">
        <v>20</v>
      </c>
      <c r="T130" s="12">
        <v>1</v>
      </c>
    </row>
    <row r="131" spans="1:20" x14ac:dyDescent="0.25">
      <c r="A131" s="12">
        <v>336</v>
      </c>
      <c r="B131" s="11">
        <v>42282</v>
      </c>
      <c r="D131" s="11">
        <v>42283</v>
      </c>
      <c r="H131" s="12">
        <v>5</v>
      </c>
      <c r="I131" s="12">
        <v>33.051250000000003</v>
      </c>
      <c r="J131" s="12">
        <v>91.043700000000001</v>
      </c>
      <c r="K131" s="12">
        <v>21.8</v>
      </c>
      <c r="O131" s="12">
        <v>3</v>
      </c>
      <c r="Q131" s="12">
        <v>1410</v>
      </c>
      <c r="R131" s="12">
        <v>195</v>
      </c>
      <c r="S131" s="12">
        <v>19</v>
      </c>
      <c r="T131" s="12">
        <v>1</v>
      </c>
    </row>
    <row r="132" spans="1:20" x14ac:dyDescent="0.25">
      <c r="A132" s="12">
        <v>336</v>
      </c>
      <c r="B132" s="11">
        <v>42282</v>
      </c>
      <c r="D132" s="11">
        <v>42283</v>
      </c>
      <c r="H132" s="12">
        <v>5</v>
      </c>
      <c r="I132" s="12">
        <v>33.051250000000003</v>
      </c>
      <c r="J132" s="12">
        <v>91.043700000000001</v>
      </c>
      <c r="K132" s="12">
        <v>21.8</v>
      </c>
      <c r="O132" s="12">
        <v>3</v>
      </c>
      <c r="Q132" s="12">
        <v>1410</v>
      </c>
      <c r="R132" s="12">
        <v>207</v>
      </c>
      <c r="S132" s="12">
        <v>20</v>
      </c>
      <c r="T132" s="12">
        <v>1</v>
      </c>
    </row>
    <row r="133" spans="1:20" x14ac:dyDescent="0.25">
      <c r="A133" s="12">
        <v>336</v>
      </c>
      <c r="B133" s="11">
        <v>42282</v>
      </c>
      <c r="D133" s="11">
        <v>42283</v>
      </c>
      <c r="H133" s="12">
        <v>5</v>
      </c>
      <c r="I133" s="12">
        <v>33.051250000000003</v>
      </c>
      <c r="J133" s="12">
        <v>91.043700000000001</v>
      </c>
      <c r="K133" s="12">
        <v>21.8</v>
      </c>
      <c r="O133" s="12">
        <v>3</v>
      </c>
      <c r="Q133" s="12">
        <v>1410</v>
      </c>
      <c r="R133" s="12">
        <v>206</v>
      </c>
      <c r="S133" s="12">
        <v>20</v>
      </c>
      <c r="T133" s="12">
        <v>1</v>
      </c>
    </row>
    <row r="134" spans="1:20" x14ac:dyDescent="0.25">
      <c r="A134" s="12">
        <v>336</v>
      </c>
      <c r="B134" s="11">
        <v>42282</v>
      </c>
      <c r="D134" s="11">
        <v>42283</v>
      </c>
      <c r="H134" s="12">
        <v>5</v>
      </c>
      <c r="I134" s="12">
        <v>33.051250000000003</v>
      </c>
      <c r="J134" s="12">
        <v>91.043700000000001</v>
      </c>
      <c r="K134" s="12">
        <v>21.8</v>
      </c>
      <c r="O134" s="12">
        <v>3</v>
      </c>
      <c r="Q134" s="12">
        <v>1410</v>
      </c>
      <c r="R134" s="12">
        <v>164</v>
      </c>
      <c r="S134" s="12">
        <v>16</v>
      </c>
      <c r="T134" s="12">
        <v>1</v>
      </c>
    </row>
    <row r="135" spans="1:20" x14ac:dyDescent="0.25">
      <c r="A135" s="12">
        <v>336</v>
      </c>
      <c r="B135" s="11">
        <v>42282</v>
      </c>
      <c r="D135" s="11">
        <v>42283</v>
      </c>
      <c r="H135" s="12">
        <v>5</v>
      </c>
      <c r="I135" s="12">
        <v>33.051250000000003</v>
      </c>
      <c r="J135" s="12">
        <v>91.043700000000001</v>
      </c>
      <c r="K135" s="12">
        <v>21.8</v>
      </c>
      <c r="O135" s="12">
        <v>3</v>
      </c>
      <c r="Q135" s="12">
        <v>1410</v>
      </c>
      <c r="R135" s="12">
        <v>206</v>
      </c>
      <c r="S135" s="12">
        <v>20</v>
      </c>
      <c r="T135" s="12">
        <v>1</v>
      </c>
    </row>
    <row r="136" spans="1:20" x14ac:dyDescent="0.25">
      <c r="A136" s="12">
        <v>336</v>
      </c>
      <c r="B136" s="11">
        <v>42282</v>
      </c>
      <c r="D136" s="11">
        <v>42283</v>
      </c>
      <c r="H136" s="12">
        <v>5</v>
      </c>
      <c r="I136" s="12">
        <v>33.051250000000003</v>
      </c>
      <c r="J136" s="12">
        <v>91.043700000000001</v>
      </c>
      <c r="K136" s="12">
        <v>21.8</v>
      </c>
      <c r="O136" s="12">
        <v>3</v>
      </c>
      <c r="Q136" s="12">
        <v>1410</v>
      </c>
      <c r="R136" s="12">
        <v>114</v>
      </c>
      <c r="S136" s="12">
        <v>11</v>
      </c>
      <c r="T136" s="12">
        <v>1</v>
      </c>
    </row>
    <row r="137" spans="1:20" x14ac:dyDescent="0.25">
      <c r="A137" s="12">
        <v>336</v>
      </c>
      <c r="B137" s="11">
        <v>42282</v>
      </c>
      <c r="D137" s="11">
        <v>42283</v>
      </c>
      <c r="H137" s="12">
        <v>5</v>
      </c>
      <c r="I137" s="12">
        <v>33.051250000000003</v>
      </c>
      <c r="J137" s="12">
        <v>91.043700000000001</v>
      </c>
      <c r="K137" s="12">
        <v>21.8</v>
      </c>
      <c r="O137" s="12">
        <v>3</v>
      </c>
      <c r="Q137" s="12">
        <v>1410</v>
      </c>
      <c r="R137" s="12">
        <v>94</v>
      </c>
      <c r="S137" s="12">
        <v>9</v>
      </c>
      <c r="T137" s="12">
        <v>1</v>
      </c>
    </row>
    <row r="138" spans="1:20" x14ac:dyDescent="0.25">
      <c r="A138" s="12">
        <v>336</v>
      </c>
      <c r="B138" s="11">
        <v>42282</v>
      </c>
      <c r="D138" s="11">
        <v>42283</v>
      </c>
      <c r="H138" s="12">
        <v>5</v>
      </c>
      <c r="I138" s="12">
        <v>33.051250000000003</v>
      </c>
      <c r="J138" s="12">
        <v>91.043700000000001</v>
      </c>
      <c r="K138" s="12">
        <v>21.8</v>
      </c>
      <c r="O138" s="12">
        <v>3</v>
      </c>
      <c r="Q138" s="12">
        <v>1409</v>
      </c>
      <c r="R138" s="12">
        <v>70</v>
      </c>
      <c r="S138" s="12">
        <v>7</v>
      </c>
      <c r="T138" s="12">
        <v>1</v>
      </c>
    </row>
    <row r="139" spans="1:20" x14ac:dyDescent="0.25">
      <c r="A139" s="12">
        <v>336</v>
      </c>
      <c r="B139" s="11">
        <v>42282</v>
      </c>
      <c r="D139" s="11">
        <v>42283</v>
      </c>
      <c r="H139" s="12">
        <v>5</v>
      </c>
      <c r="I139" s="12">
        <v>33.051250000000003</v>
      </c>
      <c r="J139" s="12">
        <v>91.043700000000001</v>
      </c>
      <c r="K139" s="12">
        <v>21.8</v>
      </c>
      <c r="O139" s="12">
        <v>3</v>
      </c>
      <c r="Q139" s="12">
        <v>1409</v>
      </c>
      <c r="R139" s="12">
        <v>73</v>
      </c>
      <c r="S139" s="12">
        <v>7</v>
      </c>
      <c r="T139" s="12">
        <v>1</v>
      </c>
    </row>
    <row r="140" spans="1:20" x14ac:dyDescent="0.25">
      <c r="A140" s="12">
        <v>336</v>
      </c>
      <c r="B140" s="11">
        <v>42282</v>
      </c>
      <c r="D140" s="11">
        <v>42283</v>
      </c>
      <c r="H140" s="12">
        <v>5</v>
      </c>
      <c r="I140" s="12">
        <v>33.051250000000003</v>
      </c>
      <c r="J140" s="12">
        <v>91.043700000000001</v>
      </c>
      <c r="K140" s="12">
        <v>21.8</v>
      </c>
      <c r="O140" s="12">
        <v>3</v>
      </c>
      <c r="Q140" s="12">
        <v>1409</v>
      </c>
      <c r="R140" s="12">
        <v>70</v>
      </c>
      <c r="S140" s="12">
        <v>7</v>
      </c>
      <c r="T140" s="12">
        <v>1</v>
      </c>
    </row>
    <row r="141" spans="1:20" x14ac:dyDescent="0.25">
      <c r="A141" s="12">
        <v>336</v>
      </c>
      <c r="B141" s="11">
        <v>42282</v>
      </c>
      <c r="D141" s="11">
        <v>42283</v>
      </c>
      <c r="H141" s="12">
        <v>5</v>
      </c>
      <c r="I141" s="12">
        <v>33.051250000000003</v>
      </c>
      <c r="J141" s="12">
        <v>91.043700000000001</v>
      </c>
      <c r="K141" s="12">
        <v>21.8</v>
      </c>
      <c r="O141" s="12">
        <v>3</v>
      </c>
      <c r="Q141" s="12">
        <v>1409</v>
      </c>
      <c r="R141" s="12">
        <v>68</v>
      </c>
      <c r="S141" s="12">
        <v>6</v>
      </c>
      <c r="T141" s="12">
        <v>1</v>
      </c>
    </row>
    <row r="142" spans="1:20" x14ac:dyDescent="0.25">
      <c r="A142" s="12">
        <v>336</v>
      </c>
      <c r="B142" s="11">
        <v>42282</v>
      </c>
      <c r="D142" s="11">
        <v>42283</v>
      </c>
      <c r="H142" s="12">
        <v>5</v>
      </c>
      <c r="I142" s="12">
        <v>33.051250000000003</v>
      </c>
      <c r="J142" s="12">
        <v>91.043700000000001</v>
      </c>
      <c r="K142" s="12">
        <v>21.8</v>
      </c>
      <c r="O142" s="12">
        <v>3</v>
      </c>
      <c r="Q142" s="12">
        <v>1409</v>
      </c>
      <c r="R142" s="12">
        <v>90</v>
      </c>
      <c r="S142" s="12">
        <v>9</v>
      </c>
      <c r="T142" s="12">
        <v>1</v>
      </c>
    </row>
    <row r="143" spans="1:20" x14ac:dyDescent="0.25">
      <c r="A143" s="12">
        <v>336</v>
      </c>
      <c r="B143" s="11">
        <v>42282</v>
      </c>
      <c r="D143" s="11">
        <v>42283</v>
      </c>
      <c r="H143" s="12">
        <v>5</v>
      </c>
      <c r="I143" s="12">
        <v>33.051250000000003</v>
      </c>
      <c r="J143" s="12">
        <v>91.043700000000001</v>
      </c>
      <c r="K143" s="12">
        <v>21.8</v>
      </c>
      <c r="O143" s="12">
        <v>3</v>
      </c>
      <c r="Q143" s="12">
        <v>1409</v>
      </c>
      <c r="R143" s="12">
        <v>97</v>
      </c>
      <c r="S143" s="12">
        <v>9</v>
      </c>
      <c r="T143" s="12">
        <v>1</v>
      </c>
    </row>
    <row r="144" spans="1:20" x14ac:dyDescent="0.25">
      <c r="A144" s="12">
        <v>336</v>
      </c>
      <c r="B144" s="11">
        <v>42282</v>
      </c>
      <c r="D144" s="11">
        <v>42283</v>
      </c>
      <c r="H144" s="12">
        <v>5</v>
      </c>
      <c r="I144" s="12">
        <v>33.051250000000003</v>
      </c>
      <c r="J144" s="12">
        <v>91.043700000000001</v>
      </c>
      <c r="K144" s="12">
        <v>21.8</v>
      </c>
      <c r="O144" s="12">
        <v>3</v>
      </c>
      <c r="Q144" s="12">
        <v>1409</v>
      </c>
      <c r="R144" s="12">
        <v>70</v>
      </c>
      <c r="S144" s="12">
        <v>7</v>
      </c>
      <c r="T144" s="12">
        <v>1</v>
      </c>
    </row>
    <row r="145" spans="1:20" x14ac:dyDescent="0.25">
      <c r="A145" s="12">
        <v>336</v>
      </c>
      <c r="B145" s="11">
        <v>42282</v>
      </c>
      <c r="D145" s="11">
        <v>42283</v>
      </c>
      <c r="H145" s="12">
        <v>5</v>
      </c>
      <c r="I145" s="12">
        <v>33.051250000000003</v>
      </c>
      <c r="J145" s="12">
        <v>91.043700000000001</v>
      </c>
      <c r="K145" s="12">
        <v>21.8</v>
      </c>
      <c r="O145" s="12">
        <v>3</v>
      </c>
      <c r="Q145" s="12">
        <v>1409</v>
      </c>
      <c r="R145" s="12">
        <v>77</v>
      </c>
      <c r="S145" s="12">
        <v>7</v>
      </c>
      <c r="T145" s="12">
        <v>1</v>
      </c>
    </row>
    <row r="146" spans="1:20" x14ac:dyDescent="0.25">
      <c r="A146" s="12">
        <v>336</v>
      </c>
      <c r="B146" s="11">
        <v>42282</v>
      </c>
      <c r="D146" s="11">
        <v>42283</v>
      </c>
      <c r="H146" s="12">
        <v>5</v>
      </c>
      <c r="I146" s="12">
        <v>33.051250000000003</v>
      </c>
      <c r="J146" s="12">
        <v>91.043700000000001</v>
      </c>
      <c r="K146" s="12">
        <v>21.8</v>
      </c>
      <c r="O146" s="12">
        <v>3</v>
      </c>
      <c r="Q146" s="12">
        <v>1409</v>
      </c>
      <c r="R146" s="12">
        <v>72</v>
      </c>
      <c r="S146" s="12">
        <v>7</v>
      </c>
      <c r="T146" s="12">
        <v>1</v>
      </c>
    </row>
    <row r="147" spans="1:20" x14ac:dyDescent="0.25">
      <c r="A147" s="12">
        <v>336</v>
      </c>
      <c r="B147" s="11">
        <v>42282</v>
      </c>
      <c r="D147" s="11">
        <v>42283</v>
      </c>
      <c r="H147" s="12">
        <v>5</v>
      </c>
      <c r="I147" s="12">
        <v>33.051250000000003</v>
      </c>
      <c r="J147" s="12">
        <v>91.043700000000001</v>
      </c>
      <c r="K147" s="12">
        <v>21.8</v>
      </c>
      <c r="O147" s="12">
        <v>3</v>
      </c>
      <c r="Q147" s="12">
        <v>1409</v>
      </c>
      <c r="R147" s="12">
        <v>73</v>
      </c>
      <c r="S147" s="12">
        <v>7</v>
      </c>
      <c r="T147" s="12">
        <v>1</v>
      </c>
    </row>
    <row r="148" spans="1:20" x14ac:dyDescent="0.25">
      <c r="A148" s="12">
        <v>336</v>
      </c>
      <c r="B148" s="11">
        <v>42282</v>
      </c>
      <c r="D148" s="11">
        <v>42283</v>
      </c>
      <c r="H148" s="12">
        <v>5</v>
      </c>
      <c r="I148" s="12">
        <v>33.051250000000003</v>
      </c>
      <c r="J148" s="12">
        <v>91.043700000000001</v>
      </c>
      <c r="K148" s="12">
        <v>21.8</v>
      </c>
      <c r="O148" s="12">
        <v>3</v>
      </c>
      <c r="Q148" s="12">
        <v>1409</v>
      </c>
      <c r="R148" s="12">
        <v>75</v>
      </c>
      <c r="S148" s="12">
        <v>7</v>
      </c>
      <c r="T148" s="12">
        <v>1</v>
      </c>
    </row>
    <row r="149" spans="1:20" x14ac:dyDescent="0.25">
      <c r="A149" s="12">
        <v>336</v>
      </c>
      <c r="B149" s="11">
        <v>42282</v>
      </c>
      <c r="D149" s="11">
        <v>42283</v>
      </c>
      <c r="H149" s="12">
        <v>5</v>
      </c>
      <c r="I149" s="12">
        <v>33.051250000000003</v>
      </c>
      <c r="J149" s="12">
        <v>91.043700000000001</v>
      </c>
      <c r="K149" s="12">
        <v>21.8</v>
      </c>
      <c r="O149" s="12">
        <v>3</v>
      </c>
      <c r="Q149" s="12">
        <v>1409</v>
      </c>
      <c r="R149" s="12">
        <v>80</v>
      </c>
      <c r="S149" s="12">
        <v>8</v>
      </c>
      <c r="T149" s="12">
        <v>1</v>
      </c>
    </row>
    <row r="150" spans="1:20" x14ac:dyDescent="0.25">
      <c r="A150" s="12">
        <v>336</v>
      </c>
      <c r="B150" s="11">
        <v>42282</v>
      </c>
      <c r="D150" s="11">
        <v>42283</v>
      </c>
      <c r="H150" s="12">
        <v>5</v>
      </c>
      <c r="I150" s="12">
        <v>33.051250000000003</v>
      </c>
      <c r="J150" s="12">
        <v>91.043700000000001</v>
      </c>
      <c r="K150" s="12">
        <v>21.8</v>
      </c>
      <c r="O150" s="12">
        <v>3</v>
      </c>
      <c r="Q150" s="12">
        <v>1409</v>
      </c>
      <c r="R150" s="12">
        <v>73</v>
      </c>
      <c r="S150" s="12">
        <v>7</v>
      </c>
      <c r="T150" s="12">
        <v>1</v>
      </c>
    </row>
    <row r="151" spans="1:20" x14ac:dyDescent="0.25">
      <c r="A151" s="12">
        <v>336</v>
      </c>
      <c r="B151" s="11">
        <v>42282</v>
      </c>
      <c r="D151" s="11">
        <v>42283</v>
      </c>
      <c r="H151" s="12">
        <v>5</v>
      </c>
      <c r="I151" s="12">
        <v>33.051250000000003</v>
      </c>
      <c r="J151" s="12">
        <v>91.043700000000001</v>
      </c>
      <c r="K151" s="12">
        <v>21.8</v>
      </c>
      <c r="O151" s="12">
        <v>3</v>
      </c>
      <c r="Q151" s="12">
        <v>1409</v>
      </c>
      <c r="R151" s="12">
        <v>74</v>
      </c>
      <c r="S151" s="12">
        <v>7</v>
      </c>
      <c r="T151" s="12">
        <v>1</v>
      </c>
    </row>
    <row r="152" spans="1:20" x14ac:dyDescent="0.25">
      <c r="A152" s="12">
        <v>336</v>
      </c>
      <c r="B152" s="11">
        <v>42282</v>
      </c>
      <c r="D152" s="11">
        <v>42283</v>
      </c>
      <c r="H152" s="12">
        <v>5</v>
      </c>
      <c r="I152" s="12">
        <v>33.051250000000003</v>
      </c>
      <c r="J152" s="12">
        <v>91.043700000000001</v>
      </c>
      <c r="K152" s="12">
        <v>21.8</v>
      </c>
      <c r="O152" s="12">
        <v>3</v>
      </c>
      <c r="Q152" s="12">
        <v>1409</v>
      </c>
      <c r="R152" s="12">
        <v>91</v>
      </c>
      <c r="S152" s="12">
        <v>9</v>
      </c>
      <c r="T152" s="12">
        <v>1</v>
      </c>
    </row>
    <row r="153" spans="1:20" x14ac:dyDescent="0.25">
      <c r="A153" s="12">
        <v>336</v>
      </c>
      <c r="B153" s="11">
        <v>42282</v>
      </c>
      <c r="D153" s="11">
        <v>42283</v>
      </c>
      <c r="H153" s="12">
        <v>5</v>
      </c>
      <c r="I153" s="12">
        <v>33.051250000000003</v>
      </c>
      <c r="J153" s="12">
        <v>91.043700000000001</v>
      </c>
      <c r="K153" s="12">
        <v>21.8</v>
      </c>
      <c r="O153" s="12">
        <v>3</v>
      </c>
      <c r="Q153" s="12">
        <v>1409</v>
      </c>
      <c r="R153" s="12">
        <v>76</v>
      </c>
      <c r="S153" s="12">
        <v>7</v>
      </c>
      <c r="T153" s="12">
        <v>1</v>
      </c>
    </row>
    <row r="154" spans="1:20" x14ac:dyDescent="0.25">
      <c r="A154" s="12">
        <v>336</v>
      </c>
      <c r="B154" s="11">
        <v>42282</v>
      </c>
      <c r="D154" s="11">
        <v>42283</v>
      </c>
      <c r="H154" s="12">
        <v>5</v>
      </c>
      <c r="I154" s="12">
        <v>33.051250000000003</v>
      </c>
      <c r="J154" s="12">
        <v>91.043700000000001</v>
      </c>
      <c r="K154" s="12">
        <v>21.8</v>
      </c>
      <c r="O154" s="12">
        <v>3</v>
      </c>
      <c r="Q154" s="12">
        <v>1409</v>
      </c>
      <c r="R154" s="12">
        <v>70</v>
      </c>
      <c r="S154" s="12">
        <v>7</v>
      </c>
      <c r="T154" s="12">
        <v>1</v>
      </c>
    </row>
    <row r="155" spans="1:20" x14ac:dyDescent="0.25">
      <c r="A155" s="12">
        <v>336</v>
      </c>
      <c r="B155" s="11">
        <v>42282</v>
      </c>
      <c r="D155" s="11">
        <v>42283</v>
      </c>
      <c r="H155" s="12">
        <v>5</v>
      </c>
      <c r="I155" s="12">
        <v>33.051250000000003</v>
      </c>
      <c r="J155" s="12">
        <v>91.043700000000001</v>
      </c>
      <c r="K155" s="12">
        <v>21.8</v>
      </c>
      <c r="O155" s="12">
        <v>3</v>
      </c>
      <c r="Q155" s="12">
        <v>1409</v>
      </c>
      <c r="R155" s="12">
        <v>80</v>
      </c>
      <c r="S155" s="12">
        <v>8</v>
      </c>
      <c r="T155" s="12">
        <v>1</v>
      </c>
    </row>
    <row r="156" spans="1:20" x14ac:dyDescent="0.25">
      <c r="A156" s="12">
        <v>336</v>
      </c>
      <c r="B156" s="11">
        <v>42282</v>
      </c>
      <c r="D156" s="11">
        <v>42283</v>
      </c>
      <c r="H156" s="12">
        <v>5</v>
      </c>
      <c r="I156" s="12">
        <v>33.051250000000003</v>
      </c>
      <c r="J156" s="12">
        <v>91.043700000000001</v>
      </c>
      <c r="K156" s="12">
        <v>21.8</v>
      </c>
      <c r="O156" s="12">
        <v>3</v>
      </c>
      <c r="Q156" s="12">
        <v>1409</v>
      </c>
      <c r="R156" s="12">
        <v>80</v>
      </c>
      <c r="S156" s="12">
        <v>8</v>
      </c>
      <c r="T156" s="12">
        <v>1</v>
      </c>
    </row>
    <row r="157" spans="1:20" x14ac:dyDescent="0.25">
      <c r="A157" s="12">
        <v>336</v>
      </c>
      <c r="B157" s="11">
        <v>42282</v>
      </c>
      <c r="D157" s="11">
        <v>42283</v>
      </c>
      <c r="H157" s="12">
        <v>5</v>
      </c>
      <c r="I157" s="12">
        <v>33.051250000000003</v>
      </c>
      <c r="J157" s="12">
        <v>91.043700000000001</v>
      </c>
      <c r="K157" s="12">
        <v>21.8</v>
      </c>
      <c r="O157" s="12">
        <v>3</v>
      </c>
      <c r="Q157" s="12">
        <v>1409</v>
      </c>
      <c r="R157" s="12">
        <v>83</v>
      </c>
      <c r="S157" s="12">
        <v>8</v>
      </c>
      <c r="T157" s="12">
        <v>1</v>
      </c>
    </row>
    <row r="158" spans="1:20" x14ac:dyDescent="0.25">
      <c r="A158" s="12">
        <v>336</v>
      </c>
      <c r="B158" s="11">
        <v>42282</v>
      </c>
      <c r="D158" s="11">
        <v>42283</v>
      </c>
      <c r="H158" s="12">
        <v>5</v>
      </c>
      <c r="I158" s="12">
        <v>33.051250000000003</v>
      </c>
      <c r="J158" s="12">
        <v>91.043700000000001</v>
      </c>
      <c r="K158" s="12">
        <v>21.8</v>
      </c>
      <c r="O158" s="12">
        <v>3</v>
      </c>
      <c r="Q158" s="12">
        <v>1409</v>
      </c>
      <c r="R158" s="12">
        <v>90</v>
      </c>
      <c r="S158" s="12">
        <v>9</v>
      </c>
      <c r="T158" s="12">
        <v>1</v>
      </c>
    </row>
    <row r="159" spans="1:20" x14ac:dyDescent="0.25">
      <c r="A159" s="12">
        <v>336</v>
      </c>
      <c r="B159" s="11">
        <v>42282</v>
      </c>
      <c r="D159" s="11">
        <v>42283</v>
      </c>
      <c r="H159" s="12">
        <v>5</v>
      </c>
      <c r="I159" s="12">
        <v>33.051250000000003</v>
      </c>
      <c r="J159" s="12">
        <v>91.043700000000001</v>
      </c>
      <c r="K159" s="12">
        <v>21.8</v>
      </c>
      <c r="O159" s="12">
        <v>3</v>
      </c>
      <c r="Q159" s="12">
        <v>1409</v>
      </c>
      <c r="R159" s="12">
        <v>76</v>
      </c>
      <c r="S159" s="12">
        <v>7</v>
      </c>
      <c r="T159" s="12">
        <v>1</v>
      </c>
    </row>
    <row r="160" spans="1:20" x14ac:dyDescent="0.25">
      <c r="A160" s="12">
        <v>336</v>
      </c>
      <c r="B160" s="11">
        <v>42282</v>
      </c>
      <c r="D160" s="11">
        <v>42283</v>
      </c>
      <c r="H160" s="12">
        <v>5</v>
      </c>
      <c r="I160" s="12">
        <v>33.051250000000003</v>
      </c>
      <c r="J160" s="12">
        <v>91.043700000000001</v>
      </c>
      <c r="K160" s="12">
        <v>21.8</v>
      </c>
      <c r="O160" s="12">
        <v>3</v>
      </c>
      <c r="Q160" s="12">
        <v>1409</v>
      </c>
      <c r="R160" s="12">
        <v>82</v>
      </c>
      <c r="S160" s="12">
        <v>8</v>
      </c>
      <c r="T160" s="12">
        <v>1</v>
      </c>
    </row>
    <row r="161" spans="1:20" x14ac:dyDescent="0.25">
      <c r="A161" s="12">
        <v>336</v>
      </c>
      <c r="B161" s="11">
        <v>42282</v>
      </c>
      <c r="D161" s="11">
        <v>42283</v>
      </c>
      <c r="H161" s="12">
        <v>6</v>
      </c>
      <c r="I161" s="12">
        <v>33.052259999999997</v>
      </c>
      <c r="J161" s="12">
        <v>91.034350000000003</v>
      </c>
      <c r="K161" s="12">
        <v>20.7</v>
      </c>
      <c r="O161" s="12">
        <v>5</v>
      </c>
      <c r="Q161" s="12">
        <v>1409</v>
      </c>
      <c r="R161" s="12">
        <v>83</v>
      </c>
      <c r="S161" s="12">
        <v>8</v>
      </c>
      <c r="T161" s="12">
        <v>1</v>
      </c>
    </row>
    <row r="162" spans="1:20" x14ac:dyDescent="0.25">
      <c r="A162" s="12">
        <v>336</v>
      </c>
      <c r="B162" s="11">
        <v>42282</v>
      </c>
      <c r="D162" s="11">
        <v>42283</v>
      </c>
      <c r="H162" s="12">
        <v>6</v>
      </c>
      <c r="I162" s="12">
        <v>33.052259999999997</v>
      </c>
      <c r="J162" s="12">
        <v>91.034350000000003</v>
      </c>
      <c r="K162" s="12">
        <v>20.7</v>
      </c>
      <c r="O162" s="12">
        <v>5</v>
      </c>
      <c r="Q162" s="12">
        <v>1410</v>
      </c>
      <c r="R162" s="12">
        <v>257</v>
      </c>
      <c r="S162" s="12">
        <v>25</v>
      </c>
      <c r="T162" s="12">
        <v>1</v>
      </c>
    </row>
    <row r="163" spans="1:20" x14ac:dyDescent="0.25">
      <c r="A163" s="12">
        <v>336</v>
      </c>
      <c r="B163" s="11">
        <v>42282</v>
      </c>
      <c r="D163" s="11">
        <v>42283</v>
      </c>
      <c r="H163" s="12">
        <v>6</v>
      </c>
      <c r="I163" s="12">
        <v>33.052259999999997</v>
      </c>
      <c r="J163" s="12">
        <v>91.034350000000003</v>
      </c>
      <c r="K163" s="12">
        <v>20.7</v>
      </c>
      <c r="O163" s="12">
        <v>5</v>
      </c>
      <c r="Q163" s="12">
        <v>1410</v>
      </c>
      <c r="R163" s="12">
        <v>332</v>
      </c>
      <c r="S163" s="12">
        <v>33</v>
      </c>
      <c r="T163" s="12">
        <v>1</v>
      </c>
    </row>
    <row r="164" spans="1:20" x14ac:dyDescent="0.25">
      <c r="A164" s="12">
        <v>336</v>
      </c>
      <c r="B164" s="11">
        <v>42282</v>
      </c>
      <c r="D164" s="11">
        <v>42283</v>
      </c>
      <c r="H164" s="12">
        <v>6</v>
      </c>
      <c r="I164" s="12">
        <v>33.052259999999997</v>
      </c>
      <c r="J164" s="12">
        <v>91.034350000000003</v>
      </c>
      <c r="K164" s="12">
        <v>20.7</v>
      </c>
      <c r="O164" s="12">
        <v>5</v>
      </c>
      <c r="Q164" s="12">
        <v>1410</v>
      </c>
      <c r="R164" s="12">
        <v>292</v>
      </c>
      <c r="S164" s="12">
        <v>29</v>
      </c>
      <c r="T164" s="12">
        <v>1</v>
      </c>
    </row>
    <row r="165" spans="1:20" x14ac:dyDescent="0.25">
      <c r="A165" s="12">
        <v>336</v>
      </c>
      <c r="B165" s="11">
        <v>42282</v>
      </c>
      <c r="D165" s="11">
        <v>42283</v>
      </c>
      <c r="H165" s="12">
        <v>6</v>
      </c>
      <c r="I165" s="12">
        <v>33.052259999999997</v>
      </c>
      <c r="J165" s="12">
        <v>91.034350000000003</v>
      </c>
      <c r="K165" s="12">
        <v>20.7</v>
      </c>
      <c r="O165" s="12">
        <v>5</v>
      </c>
      <c r="Q165" s="12">
        <v>1410</v>
      </c>
      <c r="R165" s="12">
        <v>175</v>
      </c>
      <c r="S165" s="12">
        <v>17</v>
      </c>
      <c r="T165" s="12">
        <v>1</v>
      </c>
    </row>
    <row r="166" spans="1:20" x14ac:dyDescent="0.25">
      <c r="A166" s="12">
        <v>336</v>
      </c>
      <c r="B166" s="11">
        <v>42282</v>
      </c>
      <c r="D166" s="11">
        <v>42283</v>
      </c>
      <c r="H166" s="12">
        <v>6</v>
      </c>
      <c r="I166" s="12">
        <v>33.052259999999997</v>
      </c>
      <c r="J166" s="12">
        <v>91.034350000000003</v>
      </c>
      <c r="K166" s="12">
        <v>20.7</v>
      </c>
      <c r="O166" s="12">
        <v>5</v>
      </c>
      <c r="Q166" s="12">
        <v>468</v>
      </c>
      <c r="R166" s="12">
        <v>553</v>
      </c>
      <c r="S166" s="12">
        <v>55</v>
      </c>
      <c r="T166" s="12">
        <v>1</v>
      </c>
    </row>
    <row r="167" spans="1:20" x14ac:dyDescent="0.25">
      <c r="A167" s="12">
        <v>336</v>
      </c>
      <c r="B167" s="11">
        <v>42282</v>
      </c>
      <c r="D167" s="11">
        <v>42283</v>
      </c>
      <c r="H167" s="12">
        <v>6</v>
      </c>
      <c r="I167" s="12">
        <v>33.052259999999997</v>
      </c>
      <c r="J167" s="12">
        <v>91.034350000000003</v>
      </c>
      <c r="K167" s="12">
        <v>20.7</v>
      </c>
      <c r="O167" s="12">
        <v>5</v>
      </c>
      <c r="Q167" s="12">
        <v>311</v>
      </c>
      <c r="R167" s="12">
        <v>190</v>
      </c>
      <c r="S167" s="12">
        <v>19</v>
      </c>
      <c r="T167" s="12">
        <v>1</v>
      </c>
    </row>
    <row r="168" spans="1:20" x14ac:dyDescent="0.25">
      <c r="A168" s="12">
        <v>336</v>
      </c>
      <c r="B168" s="11">
        <v>42282</v>
      </c>
      <c r="D168" s="11">
        <v>42283</v>
      </c>
      <c r="H168" s="12">
        <v>6</v>
      </c>
      <c r="I168" s="12">
        <v>33.052259999999997</v>
      </c>
      <c r="J168" s="12">
        <v>91.034350000000003</v>
      </c>
      <c r="K168" s="12">
        <v>20.7</v>
      </c>
      <c r="O168" s="12">
        <v>5</v>
      </c>
      <c r="Q168" s="12">
        <v>1395</v>
      </c>
      <c r="R168" s="12">
        <v>188</v>
      </c>
      <c r="S168" s="12">
        <v>18</v>
      </c>
      <c r="T168" s="12">
        <v>1</v>
      </c>
    </row>
    <row r="169" spans="1:20" x14ac:dyDescent="0.25">
      <c r="A169" s="12">
        <v>336</v>
      </c>
      <c r="B169" s="11">
        <v>42282</v>
      </c>
      <c r="D169" s="11">
        <v>42283</v>
      </c>
      <c r="H169" s="12">
        <v>6</v>
      </c>
      <c r="I169" s="12">
        <v>33.052259999999997</v>
      </c>
      <c r="J169" s="12">
        <v>91.034350000000003</v>
      </c>
      <c r="K169" s="12">
        <v>20.7</v>
      </c>
      <c r="O169" s="12">
        <v>5</v>
      </c>
      <c r="Q169" s="12">
        <v>1397</v>
      </c>
      <c r="R169" s="12">
        <v>165</v>
      </c>
      <c r="S169" s="12">
        <v>16</v>
      </c>
      <c r="T169" s="12">
        <v>1</v>
      </c>
    </row>
    <row r="170" spans="1:20" x14ac:dyDescent="0.25">
      <c r="A170" s="12">
        <v>336</v>
      </c>
      <c r="B170" s="11">
        <v>42282</v>
      </c>
      <c r="D170" s="11">
        <v>42283</v>
      </c>
      <c r="H170" s="12">
        <v>7</v>
      </c>
      <c r="I170" s="12">
        <v>33.06109</v>
      </c>
      <c r="J170" s="12">
        <v>91.04786</v>
      </c>
      <c r="K170" s="12">
        <v>22.2</v>
      </c>
      <c r="O170" s="12">
        <v>3</v>
      </c>
      <c r="Q170" s="12">
        <v>940</v>
      </c>
      <c r="R170" s="12">
        <v>542</v>
      </c>
      <c r="S170" s="12">
        <v>54</v>
      </c>
      <c r="T170" s="12">
        <v>1</v>
      </c>
    </row>
    <row r="171" spans="1:20" x14ac:dyDescent="0.25">
      <c r="A171" s="12">
        <v>336</v>
      </c>
      <c r="B171" s="11">
        <v>42282</v>
      </c>
      <c r="D171" s="11">
        <v>42283</v>
      </c>
      <c r="H171" s="12">
        <v>7</v>
      </c>
      <c r="I171" s="12">
        <v>33.06109</v>
      </c>
      <c r="J171" s="12">
        <v>91.04786</v>
      </c>
      <c r="K171" s="12">
        <v>22.2</v>
      </c>
      <c r="O171" s="12">
        <v>3</v>
      </c>
      <c r="Q171" s="12">
        <v>312</v>
      </c>
      <c r="R171" s="12">
        <v>60</v>
      </c>
      <c r="S171" s="12">
        <v>6</v>
      </c>
      <c r="T171" s="12">
        <v>1</v>
      </c>
    </row>
    <row r="172" spans="1:20" x14ac:dyDescent="0.25">
      <c r="A172" s="12">
        <v>336</v>
      </c>
      <c r="B172" s="11">
        <v>42282</v>
      </c>
      <c r="D172" s="11">
        <v>42283</v>
      </c>
      <c r="H172" s="12">
        <v>7</v>
      </c>
      <c r="I172" s="12">
        <v>33.06109</v>
      </c>
      <c r="J172" s="12">
        <v>91.04786</v>
      </c>
      <c r="K172" s="12">
        <v>22.2</v>
      </c>
      <c r="O172" s="12">
        <v>3</v>
      </c>
      <c r="Q172" s="12">
        <v>1410</v>
      </c>
      <c r="R172" s="12">
        <v>87</v>
      </c>
      <c r="S172" s="12">
        <v>8</v>
      </c>
      <c r="T172" s="12">
        <v>1</v>
      </c>
    </row>
    <row r="173" spans="1:20" x14ac:dyDescent="0.25">
      <c r="A173" s="12">
        <v>336</v>
      </c>
      <c r="B173" s="11">
        <v>42282</v>
      </c>
      <c r="D173" s="11">
        <v>42283</v>
      </c>
      <c r="H173" s="12">
        <v>7</v>
      </c>
      <c r="I173" s="12">
        <v>33.06109</v>
      </c>
      <c r="J173" s="12">
        <v>91.04786</v>
      </c>
      <c r="K173" s="12">
        <v>22.2</v>
      </c>
      <c r="O173" s="12">
        <v>3</v>
      </c>
      <c r="Q173" s="12">
        <v>1410</v>
      </c>
      <c r="R173" s="12">
        <v>82</v>
      </c>
      <c r="S173" s="12">
        <v>8</v>
      </c>
      <c r="T173" s="12">
        <v>1</v>
      </c>
    </row>
    <row r="174" spans="1:20" x14ac:dyDescent="0.25">
      <c r="A174" s="12">
        <v>336</v>
      </c>
      <c r="B174" s="11">
        <v>42282</v>
      </c>
      <c r="D174" s="11">
        <v>42283</v>
      </c>
      <c r="H174" s="12">
        <v>7</v>
      </c>
      <c r="I174" s="12">
        <v>33.06109</v>
      </c>
      <c r="J174" s="12">
        <v>91.04786</v>
      </c>
      <c r="K174" s="12">
        <v>22.2</v>
      </c>
      <c r="O174" s="12">
        <v>3</v>
      </c>
      <c r="Q174" s="12">
        <v>1409</v>
      </c>
      <c r="R174" s="12">
        <v>70</v>
      </c>
      <c r="S174" s="12">
        <v>7</v>
      </c>
      <c r="T174" s="12">
        <v>1</v>
      </c>
    </row>
    <row r="175" spans="1:20" x14ac:dyDescent="0.25">
      <c r="A175" s="12">
        <v>336</v>
      </c>
      <c r="B175" s="11">
        <v>42282</v>
      </c>
      <c r="D175" s="11">
        <v>42283</v>
      </c>
      <c r="H175" s="12">
        <v>7</v>
      </c>
      <c r="I175" s="12">
        <v>33.06109</v>
      </c>
      <c r="J175" s="12">
        <v>91.04786</v>
      </c>
      <c r="K175" s="12">
        <v>22.2</v>
      </c>
      <c r="O175" s="12">
        <v>3</v>
      </c>
      <c r="Q175" s="12">
        <v>1409</v>
      </c>
      <c r="R175" s="12">
        <v>74</v>
      </c>
      <c r="S175" s="12">
        <v>7</v>
      </c>
      <c r="T175" s="12">
        <v>1</v>
      </c>
    </row>
    <row r="176" spans="1:20" x14ac:dyDescent="0.25">
      <c r="A176" s="12">
        <v>336</v>
      </c>
      <c r="B176" s="11">
        <v>42282</v>
      </c>
      <c r="D176" s="11">
        <v>42283</v>
      </c>
      <c r="H176" s="12">
        <v>7</v>
      </c>
      <c r="I176" s="12">
        <v>33.06109</v>
      </c>
      <c r="J176" s="12">
        <v>91.04786</v>
      </c>
      <c r="K176" s="12">
        <v>22.2</v>
      </c>
      <c r="O176" s="12">
        <v>3</v>
      </c>
      <c r="Q176" s="12">
        <v>1409</v>
      </c>
      <c r="R176" s="12">
        <v>80</v>
      </c>
      <c r="S176" s="12">
        <v>8</v>
      </c>
      <c r="T176" s="12">
        <v>1</v>
      </c>
    </row>
    <row r="177" spans="1:20" x14ac:dyDescent="0.25">
      <c r="A177" s="12">
        <v>336</v>
      </c>
      <c r="B177" s="11">
        <v>42282</v>
      </c>
      <c r="D177" s="11">
        <v>42283</v>
      </c>
      <c r="H177" s="12">
        <v>7</v>
      </c>
      <c r="I177" s="12">
        <v>33.06109</v>
      </c>
      <c r="J177" s="12">
        <v>91.04786</v>
      </c>
      <c r="K177" s="12">
        <v>22.2</v>
      </c>
      <c r="O177" s="12">
        <v>3</v>
      </c>
      <c r="Q177" s="12">
        <v>1409</v>
      </c>
      <c r="R177" s="12">
        <v>77</v>
      </c>
      <c r="S177" s="12">
        <v>7</v>
      </c>
      <c r="T177" s="12">
        <v>1</v>
      </c>
    </row>
    <row r="178" spans="1:20" x14ac:dyDescent="0.25">
      <c r="A178" s="12">
        <v>336</v>
      </c>
      <c r="B178" s="11">
        <v>42282</v>
      </c>
      <c r="D178" s="11">
        <v>42283</v>
      </c>
      <c r="H178" s="12">
        <v>7</v>
      </c>
      <c r="I178" s="12">
        <v>33.06109</v>
      </c>
      <c r="J178" s="12">
        <v>91.04786</v>
      </c>
      <c r="K178" s="12">
        <v>22.2</v>
      </c>
      <c r="O178" s="12">
        <v>3</v>
      </c>
      <c r="Q178" s="12">
        <v>1409</v>
      </c>
      <c r="R178" s="12">
        <v>68</v>
      </c>
      <c r="S178" s="12">
        <v>6</v>
      </c>
      <c r="T178" s="12">
        <v>1</v>
      </c>
    </row>
    <row r="179" spans="1:20" x14ac:dyDescent="0.25">
      <c r="A179" s="12">
        <v>336</v>
      </c>
      <c r="B179" s="11">
        <v>42282</v>
      </c>
      <c r="D179" s="11">
        <v>42283</v>
      </c>
      <c r="H179" s="12">
        <v>7</v>
      </c>
      <c r="I179" s="12">
        <v>33.06109</v>
      </c>
      <c r="J179" s="12">
        <v>91.04786</v>
      </c>
      <c r="K179" s="12">
        <v>22.2</v>
      </c>
      <c r="O179" s="12">
        <v>3</v>
      </c>
      <c r="Q179" s="12">
        <v>1409</v>
      </c>
      <c r="R179" s="12">
        <v>80</v>
      </c>
      <c r="S179" s="12">
        <v>8</v>
      </c>
      <c r="T179" s="12">
        <v>1</v>
      </c>
    </row>
    <row r="180" spans="1:20" x14ac:dyDescent="0.25">
      <c r="A180" s="12">
        <v>336</v>
      </c>
      <c r="B180" s="11">
        <v>42282</v>
      </c>
      <c r="D180" s="11">
        <v>42283</v>
      </c>
      <c r="H180" s="12">
        <v>7</v>
      </c>
      <c r="I180" s="12">
        <v>33.06109</v>
      </c>
      <c r="J180" s="12">
        <v>91.04786</v>
      </c>
      <c r="K180" s="12">
        <v>22.2</v>
      </c>
      <c r="O180" s="12">
        <v>3</v>
      </c>
      <c r="Q180" s="12">
        <v>1409</v>
      </c>
      <c r="R180" s="12">
        <v>69</v>
      </c>
      <c r="S180" s="12">
        <v>6</v>
      </c>
      <c r="T180" s="12">
        <v>1</v>
      </c>
    </row>
    <row r="181" spans="1:20" x14ac:dyDescent="0.25">
      <c r="A181" s="12">
        <v>336</v>
      </c>
      <c r="B181" s="11">
        <v>42282</v>
      </c>
      <c r="D181" s="11">
        <v>42283</v>
      </c>
      <c r="H181" s="12">
        <v>7</v>
      </c>
      <c r="I181" s="12">
        <v>33.06109</v>
      </c>
      <c r="J181" s="12">
        <v>91.04786</v>
      </c>
      <c r="K181" s="12">
        <v>22.2</v>
      </c>
      <c r="O181" s="12">
        <v>3</v>
      </c>
      <c r="Q181" s="12">
        <v>1409</v>
      </c>
      <c r="R181" s="12">
        <v>74</v>
      </c>
      <c r="S181" s="12">
        <v>7</v>
      </c>
      <c r="T181" s="12">
        <v>1</v>
      </c>
    </row>
    <row r="182" spans="1:20" x14ac:dyDescent="0.25">
      <c r="A182" s="12">
        <v>336</v>
      </c>
      <c r="B182" s="11">
        <v>42282</v>
      </c>
      <c r="D182" s="11">
        <v>42283</v>
      </c>
      <c r="H182" s="12">
        <v>7</v>
      </c>
      <c r="I182" s="12">
        <v>33.06109</v>
      </c>
      <c r="J182" s="12">
        <v>91.04786</v>
      </c>
      <c r="K182" s="12">
        <v>22.2</v>
      </c>
      <c r="O182" s="12">
        <v>3</v>
      </c>
      <c r="Q182" s="12">
        <v>1409</v>
      </c>
      <c r="R182" s="12">
        <v>74</v>
      </c>
      <c r="S182" s="12">
        <v>7</v>
      </c>
      <c r="T182" s="12">
        <v>1</v>
      </c>
    </row>
    <row r="183" spans="1:20" x14ac:dyDescent="0.25">
      <c r="A183" s="12">
        <v>336</v>
      </c>
      <c r="B183" s="11">
        <v>42282</v>
      </c>
      <c r="D183" s="11">
        <v>42283</v>
      </c>
      <c r="H183" s="12">
        <v>7</v>
      </c>
      <c r="I183" s="12">
        <v>33.06109</v>
      </c>
      <c r="J183" s="12">
        <v>91.04786</v>
      </c>
      <c r="K183" s="12">
        <v>22.2</v>
      </c>
      <c r="O183" s="12">
        <v>3</v>
      </c>
      <c r="Q183" s="12">
        <v>1409</v>
      </c>
      <c r="R183" s="12">
        <v>67</v>
      </c>
      <c r="S183" s="12">
        <v>6</v>
      </c>
      <c r="T183" s="12">
        <v>1</v>
      </c>
    </row>
    <row r="184" spans="1:20" x14ac:dyDescent="0.25">
      <c r="A184" s="12">
        <v>336</v>
      </c>
      <c r="B184" s="11">
        <v>42282</v>
      </c>
      <c r="D184" s="11">
        <v>42283</v>
      </c>
      <c r="H184" s="12">
        <v>7</v>
      </c>
      <c r="I184" s="12">
        <v>33.06109</v>
      </c>
      <c r="J184" s="12">
        <v>91.04786</v>
      </c>
      <c r="K184" s="12">
        <v>22.2</v>
      </c>
      <c r="O184" s="12">
        <v>3</v>
      </c>
      <c r="Q184" s="12">
        <v>1409</v>
      </c>
      <c r="R184" s="12">
        <v>77</v>
      </c>
      <c r="S184" s="12">
        <v>7</v>
      </c>
      <c r="T184" s="12">
        <v>1</v>
      </c>
    </row>
    <row r="185" spans="1:20" x14ac:dyDescent="0.25">
      <c r="A185" s="12">
        <v>336</v>
      </c>
      <c r="B185" s="11">
        <v>42282</v>
      </c>
      <c r="D185" s="11">
        <v>42283</v>
      </c>
      <c r="H185" s="12">
        <v>7</v>
      </c>
      <c r="I185" s="12">
        <v>33.06109</v>
      </c>
      <c r="J185" s="12">
        <v>91.04786</v>
      </c>
      <c r="K185" s="12">
        <v>22.2</v>
      </c>
      <c r="O185" s="12">
        <v>3</v>
      </c>
      <c r="Q185" s="12">
        <v>1409</v>
      </c>
      <c r="R185" s="12">
        <v>73</v>
      </c>
      <c r="S185" s="12">
        <v>7</v>
      </c>
      <c r="T185" s="12">
        <v>1</v>
      </c>
    </row>
    <row r="186" spans="1:20" x14ac:dyDescent="0.25">
      <c r="A186" s="12">
        <v>336</v>
      </c>
      <c r="B186" s="11">
        <v>42282</v>
      </c>
      <c r="D186" s="11">
        <v>42283</v>
      </c>
      <c r="H186" s="12">
        <v>7</v>
      </c>
      <c r="I186" s="12">
        <v>33.06109</v>
      </c>
      <c r="J186" s="12">
        <v>91.04786</v>
      </c>
      <c r="K186" s="12">
        <v>22.2</v>
      </c>
      <c r="O186" s="12">
        <v>3</v>
      </c>
      <c r="Q186" s="12">
        <v>1409</v>
      </c>
      <c r="R186" s="12">
        <v>72</v>
      </c>
      <c r="S186" s="12">
        <v>7</v>
      </c>
      <c r="T186" s="12">
        <v>1</v>
      </c>
    </row>
    <row r="187" spans="1:20" x14ac:dyDescent="0.25">
      <c r="A187" s="12">
        <v>336</v>
      </c>
      <c r="B187" s="11">
        <v>42282</v>
      </c>
      <c r="D187" s="11">
        <v>42283</v>
      </c>
      <c r="H187" s="12">
        <v>7</v>
      </c>
      <c r="I187" s="12">
        <v>33.06109</v>
      </c>
      <c r="J187" s="12">
        <v>91.04786</v>
      </c>
      <c r="K187" s="12">
        <v>22.2</v>
      </c>
      <c r="O187" s="12">
        <v>3</v>
      </c>
      <c r="Q187" s="12">
        <v>1409</v>
      </c>
      <c r="R187" s="12">
        <v>64</v>
      </c>
      <c r="S187" s="12">
        <v>6</v>
      </c>
      <c r="T187" s="12">
        <v>1</v>
      </c>
    </row>
    <row r="188" spans="1:20" x14ac:dyDescent="0.25">
      <c r="A188" s="12">
        <v>336</v>
      </c>
      <c r="B188" s="11">
        <v>42282</v>
      </c>
      <c r="D188" s="11">
        <v>42283</v>
      </c>
      <c r="H188" s="12">
        <v>7</v>
      </c>
      <c r="I188" s="12">
        <v>33.06109</v>
      </c>
      <c r="J188" s="12">
        <v>91.04786</v>
      </c>
      <c r="K188" s="12">
        <v>22.2</v>
      </c>
      <c r="O188" s="12">
        <v>3</v>
      </c>
      <c r="Q188" s="12">
        <v>1409</v>
      </c>
      <c r="R188" s="12">
        <v>74</v>
      </c>
      <c r="S188" s="12">
        <v>7</v>
      </c>
      <c r="T188" s="12">
        <v>1</v>
      </c>
    </row>
    <row r="189" spans="1:20" x14ac:dyDescent="0.25">
      <c r="A189" s="12">
        <v>336</v>
      </c>
      <c r="B189" s="11">
        <v>42282</v>
      </c>
      <c r="D189" s="11">
        <v>42283</v>
      </c>
      <c r="H189" s="12">
        <v>7</v>
      </c>
      <c r="I189" s="12">
        <v>33.06109</v>
      </c>
      <c r="J189" s="12">
        <v>91.04786</v>
      </c>
      <c r="K189" s="12">
        <v>22.2</v>
      </c>
      <c r="O189" s="12">
        <v>3</v>
      </c>
      <c r="Q189" s="12">
        <v>1409</v>
      </c>
      <c r="R189" s="12">
        <v>73</v>
      </c>
      <c r="S189" s="12">
        <v>7</v>
      </c>
      <c r="T189" s="12">
        <v>1</v>
      </c>
    </row>
    <row r="190" spans="1:20" x14ac:dyDescent="0.25">
      <c r="A190" s="12">
        <v>336</v>
      </c>
      <c r="B190" s="11">
        <v>42282</v>
      </c>
      <c r="D190" s="11">
        <v>42283</v>
      </c>
      <c r="H190" s="12">
        <v>7</v>
      </c>
      <c r="I190" s="12">
        <v>33.06109</v>
      </c>
      <c r="J190" s="12">
        <v>91.04786</v>
      </c>
      <c r="K190" s="12">
        <v>22.2</v>
      </c>
      <c r="O190" s="12">
        <v>3</v>
      </c>
      <c r="Q190" s="12">
        <v>1409</v>
      </c>
      <c r="R190" s="12">
        <v>101</v>
      </c>
      <c r="S190" s="12">
        <v>10</v>
      </c>
      <c r="T190" s="12">
        <v>1</v>
      </c>
    </row>
    <row r="191" spans="1:20" x14ac:dyDescent="0.25">
      <c r="A191" s="12">
        <v>336</v>
      </c>
      <c r="B191" s="11">
        <v>42282</v>
      </c>
      <c r="D191" s="11">
        <v>42283</v>
      </c>
      <c r="H191" s="12">
        <v>7</v>
      </c>
      <c r="I191" s="12">
        <v>33.06109</v>
      </c>
      <c r="J191" s="12">
        <v>91.04786</v>
      </c>
      <c r="K191" s="12">
        <v>22.2</v>
      </c>
      <c r="O191" s="12">
        <v>3</v>
      </c>
      <c r="Q191" s="12">
        <v>312</v>
      </c>
      <c r="R191" s="12">
        <v>71</v>
      </c>
      <c r="S191" s="12">
        <v>7</v>
      </c>
      <c r="T191" s="12">
        <v>1</v>
      </c>
    </row>
    <row r="192" spans="1:20" x14ac:dyDescent="0.25">
      <c r="A192" s="12">
        <v>336</v>
      </c>
      <c r="B192" s="11">
        <v>42282</v>
      </c>
      <c r="D192" s="11">
        <v>42283</v>
      </c>
      <c r="H192" s="12">
        <v>7</v>
      </c>
      <c r="I192" s="12">
        <v>33.06109</v>
      </c>
      <c r="J192" s="12">
        <v>91.04786</v>
      </c>
      <c r="K192" s="12">
        <v>22.2</v>
      </c>
      <c r="O192" s="12">
        <v>3</v>
      </c>
      <c r="Q192" s="12">
        <v>1409</v>
      </c>
      <c r="R192" s="12">
        <v>121</v>
      </c>
      <c r="S192" s="12">
        <v>12</v>
      </c>
      <c r="T192" s="12">
        <v>1</v>
      </c>
    </row>
    <row r="193" spans="1:20" x14ac:dyDescent="0.25">
      <c r="A193" s="12">
        <v>336</v>
      </c>
      <c r="B193" s="11">
        <v>42282</v>
      </c>
      <c r="D193" s="11">
        <v>42283</v>
      </c>
      <c r="H193" s="12">
        <v>7</v>
      </c>
      <c r="I193" s="12">
        <v>33.06109</v>
      </c>
      <c r="J193" s="12">
        <v>91.04786</v>
      </c>
      <c r="K193" s="12">
        <v>22.2</v>
      </c>
      <c r="O193" s="12">
        <v>3</v>
      </c>
      <c r="Q193" s="12">
        <v>1410</v>
      </c>
      <c r="R193" s="12">
        <v>241</v>
      </c>
      <c r="S193" s="12">
        <v>24</v>
      </c>
      <c r="T193" s="12">
        <v>1</v>
      </c>
    </row>
    <row r="194" spans="1:20" x14ac:dyDescent="0.25">
      <c r="A194" s="12">
        <v>336</v>
      </c>
      <c r="B194" s="11">
        <v>42282</v>
      </c>
      <c r="D194" s="11">
        <v>42283</v>
      </c>
      <c r="H194" s="12">
        <v>7</v>
      </c>
      <c r="I194" s="12">
        <v>33.06109</v>
      </c>
      <c r="J194" s="12">
        <v>91.04786</v>
      </c>
      <c r="K194" s="12">
        <v>22.2</v>
      </c>
      <c r="O194" s="12">
        <v>3</v>
      </c>
      <c r="Q194" s="12">
        <v>1410</v>
      </c>
      <c r="R194" s="12">
        <v>220</v>
      </c>
      <c r="S194" s="12">
        <v>22</v>
      </c>
      <c r="T194" s="12">
        <v>1</v>
      </c>
    </row>
    <row r="195" spans="1:20" x14ac:dyDescent="0.25">
      <c r="A195" s="12">
        <v>336</v>
      </c>
      <c r="B195" s="11">
        <v>42282</v>
      </c>
      <c r="D195" s="11">
        <v>42283</v>
      </c>
      <c r="H195" s="12">
        <v>7</v>
      </c>
      <c r="I195" s="12">
        <v>33.06109</v>
      </c>
      <c r="J195" s="12">
        <v>91.04786</v>
      </c>
      <c r="K195" s="12">
        <v>22.2</v>
      </c>
      <c r="O195" s="12">
        <v>3</v>
      </c>
      <c r="Q195" s="12">
        <v>1410</v>
      </c>
      <c r="R195" s="12">
        <v>171</v>
      </c>
      <c r="S195" s="12">
        <v>17</v>
      </c>
      <c r="T195" s="12">
        <v>1</v>
      </c>
    </row>
    <row r="196" spans="1:20" x14ac:dyDescent="0.25">
      <c r="A196" s="12">
        <v>336</v>
      </c>
      <c r="B196" s="11">
        <v>42282</v>
      </c>
      <c r="D196" s="11">
        <v>42283</v>
      </c>
      <c r="H196" s="12">
        <v>7</v>
      </c>
      <c r="I196" s="12">
        <v>33.06109</v>
      </c>
      <c r="J196" s="12">
        <v>91.04786</v>
      </c>
      <c r="K196" s="12">
        <v>22.2</v>
      </c>
      <c r="O196" s="12">
        <v>3</v>
      </c>
      <c r="Q196" s="12">
        <v>1410</v>
      </c>
      <c r="R196" s="12">
        <v>154</v>
      </c>
      <c r="S196" s="12">
        <v>15</v>
      </c>
      <c r="T196" s="12">
        <v>1</v>
      </c>
    </row>
    <row r="197" spans="1:20" x14ac:dyDescent="0.25">
      <c r="A197" s="12">
        <v>336</v>
      </c>
      <c r="B197" s="11">
        <v>42282</v>
      </c>
      <c r="D197" s="11">
        <v>42283</v>
      </c>
      <c r="H197" s="12">
        <v>7</v>
      </c>
      <c r="I197" s="12">
        <v>33.06109</v>
      </c>
      <c r="J197" s="12">
        <v>91.04786</v>
      </c>
      <c r="K197" s="12">
        <v>22.2</v>
      </c>
      <c r="O197" s="12">
        <v>3</v>
      </c>
      <c r="Q197" s="12">
        <v>1410</v>
      </c>
      <c r="R197" s="12">
        <v>237</v>
      </c>
      <c r="S197" s="12">
        <v>23</v>
      </c>
      <c r="T197" s="12">
        <v>1</v>
      </c>
    </row>
    <row r="198" spans="1:20" x14ac:dyDescent="0.25">
      <c r="A198" s="12">
        <v>336</v>
      </c>
      <c r="B198" s="11">
        <v>42282</v>
      </c>
      <c r="D198" s="11">
        <v>42283</v>
      </c>
      <c r="H198" s="12">
        <v>7</v>
      </c>
      <c r="I198" s="12">
        <v>33.06109</v>
      </c>
      <c r="J198" s="12">
        <v>91.04786</v>
      </c>
      <c r="K198" s="12">
        <v>22.2</v>
      </c>
      <c r="O198" s="12">
        <v>3</v>
      </c>
      <c r="Q198" s="12">
        <v>1410</v>
      </c>
      <c r="R198" s="12">
        <v>212</v>
      </c>
      <c r="S198" s="12">
        <v>21</v>
      </c>
      <c r="T198" s="12">
        <v>1</v>
      </c>
    </row>
    <row r="199" spans="1:20" x14ac:dyDescent="0.25">
      <c r="A199" s="12">
        <v>336</v>
      </c>
      <c r="B199" s="11">
        <v>42282</v>
      </c>
      <c r="D199" s="11">
        <v>42283</v>
      </c>
      <c r="H199" s="12">
        <v>7</v>
      </c>
      <c r="I199" s="12">
        <v>33.06109</v>
      </c>
      <c r="J199" s="12">
        <v>91.04786</v>
      </c>
      <c r="K199" s="12">
        <v>22.2</v>
      </c>
      <c r="O199" s="12">
        <v>3</v>
      </c>
      <c r="Q199" s="12">
        <v>1410</v>
      </c>
      <c r="R199" s="12">
        <v>255</v>
      </c>
      <c r="S199" s="12">
        <v>25</v>
      </c>
      <c r="T199" s="12">
        <v>1</v>
      </c>
    </row>
    <row r="200" spans="1:20" x14ac:dyDescent="0.25">
      <c r="A200" s="12">
        <v>336</v>
      </c>
      <c r="B200" s="11">
        <v>42282</v>
      </c>
      <c r="D200" s="11">
        <v>42283</v>
      </c>
      <c r="H200" s="12">
        <v>7</v>
      </c>
      <c r="I200" s="12">
        <v>33.06109</v>
      </c>
      <c r="J200" s="12">
        <v>91.04786</v>
      </c>
      <c r="K200" s="12">
        <v>22.2</v>
      </c>
      <c r="O200" s="12">
        <v>3</v>
      </c>
      <c r="Q200" s="12">
        <v>1410</v>
      </c>
      <c r="R200" s="12">
        <v>197</v>
      </c>
      <c r="S200" s="12">
        <v>19</v>
      </c>
      <c r="T200" s="12">
        <v>1</v>
      </c>
    </row>
    <row r="201" spans="1:20" x14ac:dyDescent="0.25">
      <c r="A201" s="12">
        <v>336</v>
      </c>
      <c r="B201" s="11">
        <v>42282</v>
      </c>
      <c r="D201" s="11">
        <v>42283</v>
      </c>
      <c r="H201" s="12">
        <v>7</v>
      </c>
      <c r="I201" s="12">
        <v>33.06109</v>
      </c>
      <c r="J201" s="12">
        <v>91.04786</v>
      </c>
      <c r="K201" s="12">
        <v>22.2</v>
      </c>
      <c r="O201" s="12">
        <v>3</v>
      </c>
      <c r="Q201" s="12">
        <v>1410</v>
      </c>
      <c r="R201" s="12">
        <v>195</v>
      </c>
      <c r="S201" s="12">
        <v>19</v>
      </c>
      <c r="T201" s="12">
        <v>1</v>
      </c>
    </row>
    <row r="202" spans="1:20" x14ac:dyDescent="0.25">
      <c r="A202" s="12">
        <v>336</v>
      </c>
      <c r="B202" s="11">
        <v>42282</v>
      </c>
      <c r="D202" s="11">
        <v>42283</v>
      </c>
      <c r="H202" s="12">
        <v>7</v>
      </c>
      <c r="I202" s="12">
        <v>33.06109</v>
      </c>
      <c r="J202" s="12">
        <v>91.04786</v>
      </c>
      <c r="K202" s="12">
        <v>22.2</v>
      </c>
      <c r="O202" s="12">
        <v>3</v>
      </c>
      <c r="Q202" s="12">
        <v>1410</v>
      </c>
      <c r="R202" s="12">
        <v>221</v>
      </c>
      <c r="S202" s="12">
        <v>22</v>
      </c>
      <c r="T202" s="12">
        <v>1</v>
      </c>
    </row>
    <row r="203" spans="1:20" x14ac:dyDescent="0.25">
      <c r="A203" s="12">
        <v>336</v>
      </c>
      <c r="B203" s="11">
        <v>42282</v>
      </c>
      <c r="D203" s="11">
        <v>42283</v>
      </c>
      <c r="H203" s="12">
        <v>7</v>
      </c>
      <c r="I203" s="12">
        <v>33.06109</v>
      </c>
      <c r="J203" s="12">
        <v>91.04786</v>
      </c>
      <c r="K203" s="12">
        <v>22.2</v>
      </c>
      <c r="O203" s="12">
        <v>3</v>
      </c>
      <c r="Q203" s="12">
        <v>1410</v>
      </c>
      <c r="R203" s="12">
        <v>185</v>
      </c>
      <c r="S203" s="12">
        <v>18</v>
      </c>
      <c r="T203" s="12">
        <v>1</v>
      </c>
    </row>
    <row r="204" spans="1:20" x14ac:dyDescent="0.25">
      <c r="A204" s="12">
        <v>336</v>
      </c>
      <c r="B204" s="11">
        <v>42282</v>
      </c>
      <c r="D204" s="11">
        <v>42283</v>
      </c>
      <c r="H204" s="12">
        <v>7</v>
      </c>
      <c r="I204" s="12">
        <v>33.06109</v>
      </c>
      <c r="J204" s="12">
        <v>91.04786</v>
      </c>
      <c r="K204" s="12">
        <v>22.2</v>
      </c>
      <c r="O204" s="12">
        <v>3</v>
      </c>
      <c r="Q204" s="12">
        <v>1410</v>
      </c>
      <c r="R204" s="12">
        <v>185</v>
      </c>
      <c r="S204" s="12">
        <v>18</v>
      </c>
      <c r="T204" s="12">
        <v>1</v>
      </c>
    </row>
    <row r="205" spans="1:20" x14ac:dyDescent="0.25">
      <c r="A205" s="12">
        <v>336</v>
      </c>
      <c r="B205" s="11">
        <v>42282</v>
      </c>
      <c r="D205" s="11">
        <v>42283</v>
      </c>
      <c r="H205" s="12">
        <v>7</v>
      </c>
      <c r="I205" s="12">
        <v>33.06109</v>
      </c>
      <c r="J205" s="12">
        <v>91.04786</v>
      </c>
      <c r="K205" s="12">
        <v>22.2</v>
      </c>
      <c r="O205" s="12">
        <v>3</v>
      </c>
      <c r="Q205" s="12">
        <v>1410</v>
      </c>
      <c r="R205" s="12">
        <v>313</v>
      </c>
      <c r="S205" s="12">
        <v>31</v>
      </c>
      <c r="T205" s="12">
        <v>1</v>
      </c>
    </row>
    <row r="206" spans="1:20" x14ac:dyDescent="0.25">
      <c r="A206" s="12">
        <v>336</v>
      </c>
      <c r="B206" s="11">
        <v>42282</v>
      </c>
      <c r="D206" s="11">
        <v>42283</v>
      </c>
      <c r="H206" s="12">
        <v>7</v>
      </c>
      <c r="I206" s="12">
        <v>33.06109</v>
      </c>
      <c r="J206" s="12">
        <v>91.04786</v>
      </c>
      <c r="K206" s="12">
        <v>22.2</v>
      </c>
      <c r="O206" s="12">
        <v>3</v>
      </c>
      <c r="Q206" s="12">
        <v>1410</v>
      </c>
      <c r="R206" s="12">
        <v>156</v>
      </c>
      <c r="S206" s="12">
        <v>15</v>
      </c>
      <c r="T206" s="12">
        <v>1</v>
      </c>
    </row>
    <row r="207" spans="1:20" x14ac:dyDescent="0.25">
      <c r="A207" s="12">
        <v>336</v>
      </c>
      <c r="B207" s="11">
        <v>42282</v>
      </c>
      <c r="D207" s="11">
        <v>42283</v>
      </c>
      <c r="H207" s="12">
        <v>7</v>
      </c>
      <c r="I207" s="12">
        <v>33.06109</v>
      </c>
      <c r="J207" s="12">
        <v>91.04786</v>
      </c>
      <c r="K207" s="12">
        <v>22.2</v>
      </c>
      <c r="O207" s="12">
        <v>3</v>
      </c>
      <c r="Q207" s="12">
        <v>1410</v>
      </c>
      <c r="R207" s="12">
        <v>177</v>
      </c>
      <c r="S207" s="12">
        <v>17</v>
      </c>
      <c r="T207" s="12">
        <v>1</v>
      </c>
    </row>
    <row r="208" spans="1:20" x14ac:dyDescent="0.25">
      <c r="A208" s="12">
        <v>336</v>
      </c>
      <c r="B208" s="11">
        <v>42282</v>
      </c>
      <c r="D208" s="11">
        <v>42283</v>
      </c>
      <c r="H208" s="12">
        <v>7</v>
      </c>
      <c r="I208" s="12">
        <v>33.06109</v>
      </c>
      <c r="J208" s="12">
        <v>91.04786</v>
      </c>
      <c r="K208" s="12">
        <v>22.2</v>
      </c>
      <c r="O208" s="12">
        <v>3</v>
      </c>
      <c r="Q208" s="12">
        <v>1410</v>
      </c>
      <c r="R208" s="12">
        <v>148</v>
      </c>
      <c r="S208" s="12">
        <v>14</v>
      </c>
      <c r="T208" s="12">
        <v>1</v>
      </c>
    </row>
    <row r="209" spans="1:20" x14ac:dyDescent="0.25">
      <c r="A209" s="12">
        <v>336</v>
      </c>
      <c r="B209" s="11">
        <v>42282</v>
      </c>
      <c r="D209" s="11">
        <v>42283</v>
      </c>
      <c r="H209" s="12">
        <v>7</v>
      </c>
      <c r="I209" s="12">
        <v>33.06109</v>
      </c>
      <c r="J209" s="12">
        <v>91.04786</v>
      </c>
      <c r="K209" s="12">
        <v>22.2</v>
      </c>
      <c r="O209" s="12">
        <v>3</v>
      </c>
      <c r="Q209" s="12">
        <v>1410</v>
      </c>
      <c r="R209" s="12">
        <v>221</v>
      </c>
      <c r="S209" s="12">
        <v>22</v>
      </c>
      <c r="T209" s="12">
        <v>1</v>
      </c>
    </row>
    <row r="210" spans="1:20" x14ac:dyDescent="0.25">
      <c r="A210" s="12">
        <v>336</v>
      </c>
      <c r="B210" s="11">
        <v>42282</v>
      </c>
      <c r="D210" s="11">
        <v>42283</v>
      </c>
      <c r="H210" s="12">
        <v>7</v>
      </c>
      <c r="I210" s="12">
        <v>33.06109</v>
      </c>
      <c r="J210" s="12">
        <v>91.04786</v>
      </c>
      <c r="K210" s="12">
        <v>22.2</v>
      </c>
      <c r="O210" s="12">
        <v>3</v>
      </c>
      <c r="Q210" s="12">
        <v>1410</v>
      </c>
      <c r="R210" s="12">
        <v>106</v>
      </c>
      <c r="S210" s="12">
        <v>10</v>
      </c>
      <c r="T210" s="12">
        <v>1</v>
      </c>
    </row>
    <row r="211" spans="1:20" x14ac:dyDescent="0.25">
      <c r="A211" s="12">
        <v>336</v>
      </c>
      <c r="B211" s="11">
        <v>42282</v>
      </c>
      <c r="D211" s="11">
        <v>42283</v>
      </c>
      <c r="H211" s="12">
        <v>7</v>
      </c>
      <c r="I211" s="12">
        <v>33.06109</v>
      </c>
      <c r="J211" s="12">
        <v>91.04786</v>
      </c>
      <c r="K211" s="12">
        <v>22.2</v>
      </c>
      <c r="O211" s="12">
        <v>3</v>
      </c>
      <c r="Q211" s="12">
        <v>1410</v>
      </c>
      <c r="R211" s="12">
        <v>130</v>
      </c>
      <c r="S211" s="12">
        <v>13</v>
      </c>
      <c r="T211" s="12">
        <v>1</v>
      </c>
    </row>
    <row r="212" spans="1:20" x14ac:dyDescent="0.25">
      <c r="A212" s="12">
        <v>336</v>
      </c>
      <c r="B212" s="11">
        <v>42282</v>
      </c>
      <c r="D212" s="11">
        <v>42283</v>
      </c>
      <c r="H212" s="12">
        <v>7</v>
      </c>
      <c r="I212" s="12">
        <v>33.06109</v>
      </c>
      <c r="J212" s="12">
        <v>91.04786</v>
      </c>
      <c r="K212" s="12">
        <v>22.2</v>
      </c>
      <c r="O212" s="12">
        <v>3</v>
      </c>
      <c r="Q212" s="12">
        <v>1409</v>
      </c>
      <c r="R212" s="12">
        <v>143</v>
      </c>
      <c r="S212" s="12">
        <v>14</v>
      </c>
      <c r="T212" s="12">
        <v>1</v>
      </c>
    </row>
    <row r="213" spans="1:20" x14ac:dyDescent="0.25">
      <c r="A213" s="12">
        <v>336</v>
      </c>
      <c r="B213" s="11">
        <v>42282</v>
      </c>
      <c r="D213" s="11">
        <v>42283</v>
      </c>
      <c r="H213" s="12">
        <v>7</v>
      </c>
      <c r="I213" s="12">
        <v>33.06109</v>
      </c>
      <c r="J213" s="12">
        <v>91.04786</v>
      </c>
      <c r="K213" s="12">
        <v>22.2</v>
      </c>
      <c r="O213" s="12">
        <v>3</v>
      </c>
      <c r="Q213" s="12">
        <v>1409</v>
      </c>
      <c r="R213" s="12">
        <v>75</v>
      </c>
      <c r="S213" s="12">
        <v>7</v>
      </c>
      <c r="T213" s="12">
        <v>1</v>
      </c>
    </row>
    <row r="214" spans="1:20" x14ac:dyDescent="0.25">
      <c r="A214" s="12">
        <v>336</v>
      </c>
      <c r="B214" s="11">
        <v>42282</v>
      </c>
      <c r="D214" s="11">
        <v>42283</v>
      </c>
      <c r="H214" s="12">
        <v>8</v>
      </c>
      <c r="I214" s="12">
        <v>33.067050000000002</v>
      </c>
      <c r="J214" s="12">
        <v>91.050430000000006</v>
      </c>
      <c r="K214" s="12">
        <v>22.8</v>
      </c>
      <c r="O214" s="12">
        <v>5</v>
      </c>
      <c r="Q214" s="12">
        <v>311</v>
      </c>
      <c r="R214" s="12">
        <v>182</v>
      </c>
      <c r="S214" s="12">
        <v>18</v>
      </c>
      <c r="T214" s="12">
        <v>1</v>
      </c>
    </row>
    <row r="215" spans="1:20" x14ac:dyDescent="0.25">
      <c r="A215" s="12">
        <v>336</v>
      </c>
      <c r="B215" s="11">
        <v>42282</v>
      </c>
      <c r="D215" s="11">
        <v>42283</v>
      </c>
      <c r="H215" s="12">
        <v>8</v>
      </c>
      <c r="I215" s="12">
        <v>33.8705</v>
      </c>
      <c r="J215" s="12">
        <v>91.050430000000006</v>
      </c>
      <c r="K215" s="12">
        <v>22.8</v>
      </c>
      <c r="O215" s="12">
        <v>5</v>
      </c>
      <c r="Q215" s="12">
        <v>311</v>
      </c>
      <c r="R215" s="12">
        <v>182</v>
      </c>
      <c r="S215" s="12">
        <v>18</v>
      </c>
      <c r="T215" s="12">
        <v>1</v>
      </c>
    </row>
    <row r="216" spans="1:20" x14ac:dyDescent="0.25">
      <c r="A216" s="12">
        <v>336</v>
      </c>
      <c r="B216" s="11">
        <v>42282</v>
      </c>
      <c r="D216" s="11">
        <v>42283</v>
      </c>
      <c r="H216" s="12">
        <v>8</v>
      </c>
      <c r="I216" s="12">
        <v>33.8705</v>
      </c>
      <c r="J216" s="12">
        <v>91.050430000000006</v>
      </c>
      <c r="K216" s="12">
        <v>22.8</v>
      </c>
      <c r="O216" s="12">
        <v>5</v>
      </c>
      <c r="Q216" s="12">
        <v>1409</v>
      </c>
      <c r="R216" s="12">
        <v>186</v>
      </c>
      <c r="S216" s="12">
        <v>18</v>
      </c>
      <c r="T216" s="12">
        <v>1</v>
      </c>
    </row>
    <row r="217" spans="1:20" x14ac:dyDescent="0.25">
      <c r="A217" s="12">
        <v>336</v>
      </c>
      <c r="B217" s="11">
        <v>42282</v>
      </c>
      <c r="D217" s="11">
        <v>42283</v>
      </c>
      <c r="H217" s="12">
        <v>8</v>
      </c>
      <c r="I217" s="12">
        <v>33.8705</v>
      </c>
      <c r="J217" s="12">
        <v>91.050430000000006</v>
      </c>
      <c r="K217" s="12">
        <v>22.8</v>
      </c>
      <c r="O217" s="12">
        <v>5</v>
      </c>
      <c r="Q217" s="12">
        <v>1397</v>
      </c>
      <c r="R217" s="12">
        <v>177</v>
      </c>
      <c r="S217" s="12">
        <v>17</v>
      </c>
      <c r="T217" s="12">
        <v>1</v>
      </c>
    </row>
    <row r="218" spans="1:20" x14ac:dyDescent="0.25">
      <c r="A218" s="12">
        <v>336</v>
      </c>
      <c r="B218" s="11">
        <v>42282</v>
      </c>
      <c r="D218" s="11">
        <v>42283</v>
      </c>
      <c r="H218" s="12">
        <v>8</v>
      </c>
      <c r="I218" s="12">
        <v>33.8705</v>
      </c>
      <c r="J218" s="12">
        <v>91.050430000000006</v>
      </c>
      <c r="K218" s="12">
        <v>22.8</v>
      </c>
      <c r="O218" s="12">
        <v>5</v>
      </c>
      <c r="Q218" s="12">
        <v>1410</v>
      </c>
      <c r="R218" s="12">
        <v>181</v>
      </c>
      <c r="S218" s="12">
        <v>18</v>
      </c>
      <c r="T218" s="12">
        <v>1</v>
      </c>
    </row>
    <row r="219" spans="1:20" x14ac:dyDescent="0.25">
      <c r="A219" s="12">
        <v>336</v>
      </c>
      <c r="B219" s="11">
        <v>42282</v>
      </c>
      <c r="D219" s="11">
        <v>42283</v>
      </c>
      <c r="H219" s="12">
        <v>8</v>
      </c>
      <c r="I219" s="12">
        <v>33.8705</v>
      </c>
      <c r="J219" s="12">
        <v>91.050430000000006</v>
      </c>
      <c r="K219" s="12">
        <v>22.8</v>
      </c>
      <c r="O219" s="12">
        <v>5</v>
      </c>
      <c r="Q219" s="12">
        <v>1410</v>
      </c>
      <c r="R219" s="12">
        <v>182</v>
      </c>
      <c r="S219" s="12">
        <v>18</v>
      </c>
      <c r="T219" s="12">
        <v>1</v>
      </c>
    </row>
    <row r="220" spans="1:20" x14ac:dyDescent="0.25">
      <c r="A220" s="12">
        <v>336</v>
      </c>
      <c r="B220" s="11">
        <v>42282</v>
      </c>
      <c r="D220" s="11">
        <v>42283</v>
      </c>
      <c r="H220" s="12">
        <v>8</v>
      </c>
      <c r="I220" s="12">
        <v>33.8705</v>
      </c>
      <c r="J220" s="12">
        <v>91.050430000000006</v>
      </c>
      <c r="K220" s="12">
        <v>22.8</v>
      </c>
      <c r="O220" s="12">
        <v>5</v>
      </c>
      <c r="Q220" s="12">
        <v>1410</v>
      </c>
      <c r="R220" s="12">
        <v>233</v>
      </c>
      <c r="S220" s="12">
        <v>23</v>
      </c>
      <c r="T220" s="12">
        <v>1</v>
      </c>
    </row>
    <row r="221" spans="1:20" x14ac:dyDescent="0.25">
      <c r="A221" s="12">
        <v>336</v>
      </c>
      <c r="B221" s="11">
        <v>42282</v>
      </c>
      <c r="D221" s="11">
        <v>42283</v>
      </c>
      <c r="H221" s="12">
        <v>8</v>
      </c>
      <c r="I221" s="12">
        <v>33.8705</v>
      </c>
      <c r="J221" s="12">
        <v>91.050430000000006</v>
      </c>
      <c r="K221" s="12">
        <v>22.8</v>
      </c>
      <c r="O221" s="12">
        <v>5</v>
      </c>
      <c r="Q221" s="12">
        <v>1410</v>
      </c>
      <c r="R221" s="12">
        <v>225</v>
      </c>
      <c r="S221" s="12">
        <v>22</v>
      </c>
      <c r="T221" s="12">
        <v>1</v>
      </c>
    </row>
    <row r="222" spans="1:20" x14ac:dyDescent="0.25">
      <c r="A222" s="12">
        <v>336</v>
      </c>
      <c r="B222" s="11">
        <v>42282</v>
      </c>
      <c r="D222" s="11">
        <v>42283</v>
      </c>
      <c r="H222" s="12">
        <v>8</v>
      </c>
      <c r="I222" s="12">
        <v>33.8705</v>
      </c>
      <c r="J222" s="12">
        <v>91.050430000000006</v>
      </c>
      <c r="K222" s="12">
        <v>22.8</v>
      </c>
      <c r="O222" s="12">
        <v>5</v>
      </c>
      <c r="Q222" s="12">
        <v>1410</v>
      </c>
      <c r="R222" s="12">
        <v>157</v>
      </c>
      <c r="S222" s="12">
        <v>15</v>
      </c>
      <c r="T222" s="12">
        <v>1</v>
      </c>
    </row>
    <row r="223" spans="1:20" x14ac:dyDescent="0.25">
      <c r="A223" s="12">
        <v>336</v>
      </c>
      <c r="B223" s="11">
        <v>42282</v>
      </c>
      <c r="D223" s="11">
        <v>42283</v>
      </c>
      <c r="H223" s="12">
        <v>8</v>
      </c>
      <c r="I223" s="12">
        <v>33.8705</v>
      </c>
      <c r="J223" s="12">
        <v>91.050430000000006</v>
      </c>
      <c r="K223" s="12">
        <v>22.8</v>
      </c>
      <c r="O223" s="12">
        <v>5</v>
      </c>
      <c r="Q223" s="12">
        <v>1410</v>
      </c>
      <c r="R223" s="12">
        <v>269</v>
      </c>
      <c r="S223" s="12">
        <v>26</v>
      </c>
      <c r="T223" s="12">
        <v>1</v>
      </c>
    </row>
    <row r="224" spans="1:20" x14ac:dyDescent="0.25">
      <c r="A224" s="12">
        <v>336</v>
      </c>
      <c r="B224" s="11">
        <v>42282</v>
      </c>
      <c r="D224" s="11">
        <v>42283</v>
      </c>
      <c r="H224" s="12">
        <v>8</v>
      </c>
      <c r="I224" s="12">
        <v>33.8705</v>
      </c>
      <c r="J224" s="12">
        <v>91.050430000000006</v>
      </c>
      <c r="K224" s="12">
        <v>22.8</v>
      </c>
      <c r="O224" s="12">
        <v>5</v>
      </c>
      <c r="Q224" s="12">
        <v>1410</v>
      </c>
      <c r="R224" s="12">
        <v>258</v>
      </c>
      <c r="S224" s="12">
        <v>25</v>
      </c>
      <c r="T224" s="12">
        <v>1</v>
      </c>
    </row>
    <row r="225" spans="1:20" x14ac:dyDescent="0.25">
      <c r="A225" s="12">
        <v>336</v>
      </c>
      <c r="B225" s="11">
        <v>42282</v>
      </c>
      <c r="D225" s="11">
        <v>42283</v>
      </c>
      <c r="H225" s="12">
        <v>8</v>
      </c>
      <c r="I225" s="12">
        <v>33.8705</v>
      </c>
      <c r="J225" s="12">
        <v>91.050430000000006</v>
      </c>
      <c r="K225" s="12">
        <v>22.8</v>
      </c>
      <c r="O225" s="12">
        <v>5</v>
      </c>
      <c r="Q225" s="12">
        <v>1410</v>
      </c>
      <c r="R225" s="12">
        <v>202</v>
      </c>
      <c r="S225" s="12">
        <v>20</v>
      </c>
      <c r="T225" s="12">
        <v>1</v>
      </c>
    </row>
    <row r="226" spans="1:20" x14ac:dyDescent="0.25">
      <c r="A226" s="12">
        <v>336</v>
      </c>
      <c r="B226" s="11">
        <v>42282</v>
      </c>
      <c r="D226" s="11">
        <v>42283</v>
      </c>
      <c r="H226" s="12">
        <v>8</v>
      </c>
      <c r="I226" s="12">
        <v>33.8705</v>
      </c>
      <c r="J226" s="12">
        <v>91.050430000000006</v>
      </c>
      <c r="K226" s="12">
        <v>22.8</v>
      </c>
      <c r="O226" s="12">
        <v>5</v>
      </c>
      <c r="Q226" s="12">
        <v>1409</v>
      </c>
      <c r="R226" s="12">
        <v>205</v>
      </c>
      <c r="S226" s="12">
        <v>20</v>
      </c>
      <c r="T226" s="12">
        <v>1</v>
      </c>
    </row>
    <row r="227" spans="1:20" x14ac:dyDescent="0.25">
      <c r="A227" s="12">
        <v>336</v>
      </c>
      <c r="B227" s="11">
        <v>42282</v>
      </c>
      <c r="D227" s="11">
        <v>42283</v>
      </c>
      <c r="H227" s="12">
        <v>8</v>
      </c>
      <c r="I227" s="12">
        <v>33.8705</v>
      </c>
      <c r="J227" s="12">
        <v>91.050430000000006</v>
      </c>
      <c r="K227" s="12">
        <v>22.8</v>
      </c>
      <c r="O227" s="12">
        <v>5</v>
      </c>
      <c r="Q227" s="12">
        <v>1410</v>
      </c>
      <c r="R227" s="12">
        <v>250</v>
      </c>
      <c r="S227" s="12">
        <v>25</v>
      </c>
      <c r="T227" s="12">
        <v>1</v>
      </c>
    </row>
    <row r="228" spans="1:20" x14ac:dyDescent="0.25">
      <c r="A228" s="12">
        <v>336</v>
      </c>
      <c r="B228" s="11">
        <v>42282</v>
      </c>
      <c r="D228" s="11">
        <v>42283</v>
      </c>
      <c r="H228" s="12">
        <v>8</v>
      </c>
      <c r="I228" s="12">
        <v>33.8705</v>
      </c>
      <c r="J228" s="12">
        <v>91.050430000000006</v>
      </c>
      <c r="K228" s="12">
        <v>22.8</v>
      </c>
      <c r="O228" s="12">
        <v>5</v>
      </c>
      <c r="Q228" s="12">
        <v>1410</v>
      </c>
      <c r="R228" s="12">
        <v>281</v>
      </c>
      <c r="S228" s="12">
        <v>28</v>
      </c>
      <c r="T228" s="12">
        <v>1</v>
      </c>
    </row>
    <row r="229" spans="1:20" x14ac:dyDescent="0.25">
      <c r="A229" s="12">
        <v>336</v>
      </c>
      <c r="B229" s="11">
        <v>42282</v>
      </c>
      <c r="D229" s="11">
        <v>42283</v>
      </c>
      <c r="H229" s="12">
        <v>8</v>
      </c>
      <c r="I229" s="12">
        <v>33.8705</v>
      </c>
      <c r="J229" s="12">
        <v>91.050430000000006</v>
      </c>
      <c r="K229" s="12">
        <v>22.8</v>
      </c>
      <c r="O229" s="12">
        <v>5</v>
      </c>
      <c r="Q229" s="12">
        <v>1410</v>
      </c>
      <c r="R229" s="12">
        <v>272</v>
      </c>
      <c r="S229" s="12">
        <v>27</v>
      </c>
      <c r="T229" s="12">
        <v>1</v>
      </c>
    </row>
    <row r="230" spans="1:20" x14ac:dyDescent="0.25">
      <c r="A230" s="12">
        <v>336</v>
      </c>
      <c r="B230" s="11">
        <v>42282</v>
      </c>
      <c r="D230" s="11">
        <v>42283</v>
      </c>
      <c r="H230" s="12">
        <v>8</v>
      </c>
      <c r="I230" s="12">
        <v>33.8705</v>
      </c>
      <c r="J230" s="12">
        <v>91.050430000000006</v>
      </c>
      <c r="K230" s="12">
        <v>22.8</v>
      </c>
      <c r="O230" s="12">
        <v>5</v>
      </c>
      <c r="Q230" s="12">
        <v>1409</v>
      </c>
      <c r="R230" s="12">
        <v>207</v>
      </c>
      <c r="S230" s="12">
        <v>20</v>
      </c>
      <c r="T230" s="12">
        <v>1</v>
      </c>
    </row>
    <row r="231" spans="1:20" x14ac:dyDescent="0.25">
      <c r="A231" s="12">
        <v>336</v>
      </c>
      <c r="B231" s="11">
        <v>42282</v>
      </c>
      <c r="D231" s="11">
        <v>42283</v>
      </c>
      <c r="H231" s="12">
        <v>8</v>
      </c>
      <c r="I231" s="12">
        <v>33.8705</v>
      </c>
      <c r="J231" s="12">
        <v>91.050430000000006</v>
      </c>
      <c r="K231" s="12">
        <v>22.8</v>
      </c>
      <c r="O231" s="12">
        <v>5</v>
      </c>
      <c r="Q231" s="12">
        <v>1409</v>
      </c>
      <c r="R231" s="12">
        <v>223</v>
      </c>
      <c r="S231" s="12">
        <v>22</v>
      </c>
      <c r="T231" s="12">
        <v>1</v>
      </c>
    </row>
    <row r="232" spans="1:20" x14ac:dyDescent="0.25">
      <c r="A232" s="12">
        <v>336</v>
      </c>
      <c r="B232" s="11">
        <v>42282</v>
      </c>
      <c r="D232" s="11">
        <v>42283</v>
      </c>
      <c r="H232" s="12">
        <v>8</v>
      </c>
      <c r="I232" s="12">
        <v>33.8705</v>
      </c>
      <c r="J232" s="12">
        <v>91.050430000000006</v>
      </c>
      <c r="K232" s="12">
        <v>22.8</v>
      </c>
      <c r="O232" s="12">
        <v>5</v>
      </c>
      <c r="Q232" s="12">
        <v>1410</v>
      </c>
      <c r="R232" s="12">
        <v>145</v>
      </c>
      <c r="S232" s="12">
        <v>14</v>
      </c>
      <c r="T232" s="12">
        <v>1</v>
      </c>
    </row>
    <row r="233" spans="1:20" x14ac:dyDescent="0.25">
      <c r="A233" s="12">
        <v>336</v>
      </c>
      <c r="B233" s="11">
        <v>42282</v>
      </c>
      <c r="D233" s="11">
        <v>42283</v>
      </c>
      <c r="H233" s="12">
        <v>8</v>
      </c>
      <c r="I233" s="12">
        <v>33.8705</v>
      </c>
      <c r="J233" s="12">
        <v>91.050430000000006</v>
      </c>
      <c r="K233" s="12">
        <v>22.8</v>
      </c>
      <c r="O233" s="12">
        <v>5</v>
      </c>
      <c r="Q233" s="12">
        <v>1410</v>
      </c>
      <c r="R233" s="12">
        <v>225</v>
      </c>
      <c r="S233" s="12">
        <v>22</v>
      </c>
      <c r="T233" s="12">
        <v>1</v>
      </c>
    </row>
    <row r="234" spans="1:20" x14ac:dyDescent="0.25">
      <c r="A234" s="12">
        <v>336</v>
      </c>
      <c r="B234" s="11">
        <v>42282</v>
      </c>
      <c r="D234" s="11">
        <v>42283</v>
      </c>
      <c r="H234" s="12">
        <v>8</v>
      </c>
      <c r="I234" s="12">
        <v>33.8705</v>
      </c>
      <c r="J234" s="12">
        <v>91.050430000000006</v>
      </c>
      <c r="K234" s="12">
        <v>22.8</v>
      </c>
      <c r="O234" s="12">
        <v>5</v>
      </c>
      <c r="Q234" s="12">
        <v>1409</v>
      </c>
      <c r="R234" s="12">
        <v>190</v>
      </c>
      <c r="S234" s="12">
        <v>19</v>
      </c>
      <c r="T234" s="12">
        <v>1</v>
      </c>
    </row>
    <row r="235" spans="1:20" x14ac:dyDescent="0.25">
      <c r="A235" s="12">
        <v>336</v>
      </c>
      <c r="B235" s="11">
        <v>42282</v>
      </c>
      <c r="D235" s="11">
        <v>42283</v>
      </c>
      <c r="H235" s="12">
        <v>8</v>
      </c>
      <c r="I235" s="12">
        <v>33.8705</v>
      </c>
      <c r="J235" s="12">
        <v>91.050430000000006</v>
      </c>
      <c r="K235" s="12">
        <v>22.8</v>
      </c>
      <c r="O235" s="12">
        <v>5</v>
      </c>
      <c r="Q235" s="12">
        <v>1409</v>
      </c>
      <c r="R235" s="12">
        <v>208</v>
      </c>
      <c r="S235" s="12">
        <v>20</v>
      </c>
      <c r="T235" s="12">
        <v>1</v>
      </c>
    </row>
    <row r="236" spans="1:20" x14ac:dyDescent="0.25">
      <c r="A236" s="12">
        <v>336</v>
      </c>
      <c r="B236" s="11">
        <v>42282</v>
      </c>
      <c r="D236" s="11">
        <v>42283</v>
      </c>
      <c r="H236" s="12">
        <v>8</v>
      </c>
      <c r="I236" s="12">
        <v>33.8705</v>
      </c>
      <c r="J236" s="12">
        <v>91.050430000000006</v>
      </c>
      <c r="K236" s="12">
        <v>22.8</v>
      </c>
      <c r="O236" s="12">
        <v>5</v>
      </c>
      <c r="Q236" s="12">
        <v>1410</v>
      </c>
      <c r="R236" s="12">
        <v>236</v>
      </c>
      <c r="S236" s="12">
        <v>23</v>
      </c>
      <c r="T236" s="12">
        <v>1</v>
      </c>
    </row>
    <row r="237" spans="1:20" x14ac:dyDescent="0.25">
      <c r="A237" s="12">
        <v>336</v>
      </c>
      <c r="B237" s="11">
        <v>42282</v>
      </c>
      <c r="D237" s="11">
        <v>42283</v>
      </c>
      <c r="H237" s="12">
        <v>8</v>
      </c>
      <c r="I237" s="12">
        <v>33.8705</v>
      </c>
      <c r="J237" s="12">
        <v>91.050430000000006</v>
      </c>
      <c r="K237" s="12">
        <v>22.8</v>
      </c>
      <c r="O237" s="12">
        <v>5</v>
      </c>
      <c r="Q237" s="12">
        <v>1410</v>
      </c>
      <c r="R237" s="12">
        <v>234</v>
      </c>
      <c r="S237" s="12">
        <v>23</v>
      </c>
      <c r="T237" s="12">
        <v>1</v>
      </c>
    </row>
    <row r="238" spans="1:20" x14ac:dyDescent="0.25">
      <c r="A238" s="12">
        <v>336</v>
      </c>
      <c r="B238" s="11">
        <v>42282</v>
      </c>
      <c r="D238" s="11">
        <v>42283</v>
      </c>
      <c r="H238" s="12">
        <v>8</v>
      </c>
      <c r="I238" s="12">
        <v>33.8705</v>
      </c>
      <c r="J238" s="12">
        <v>91.050430000000006</v>
      </c>
      <c r="K238" s="12">
        <v>22.8</v>
      </c>
      <c r="O238" s="12">
        <v>5</v>
      </c>
      <c r="Q238" s="12">
        <v>1410</v>
      </c>
      <c r="R238" s="12">
        <v>232</v>
      </c>
      <c r="S238" s="12">
        <v>23</v>
      </c>
      <c r="T238" s="12">
        <v>1</v>
      </c>
    </row>
    <row r="239" spans="1:20" x14ac:dyDescent="0.25">
      <c r="A239" s="12">
        <v>336</v>
      </c>
      <c r="B239" s="11">
        <v>42282</v>
      </c>
      <c r="D239" s="11">
        <v>42283</v>
      </c>
      <c r="H239" s="12">
        <v>8</v>
      </c>
      <c r="I239" s="12">
        <v>33.8705</v>
      </c>
      <c r="J239" s="12">
        <v>91.050430000000006</v>
      </c>
      <c r="K239" s="12">
        <v>22.8</v>
      </c>
      <c r="O239" s="12">
        <v>5</v>
      </c>
      <c r="Q239" s="12">
        <v>1410</v>
      </c>
      <c r="R239" s="12">
        <v>228</v>
      </c>
      <c r="S239" s="12">
        <v>22</v>
      </c>
      <c r="T239" s="12">
        <v>1</v>
      </c>
    </row>
    <row r="240" spans="1:20" x14ac:dyDescent="0.25">
      <c r="A240" s="12">
        <v>336</v>
      </c>
      <c r="B240" s="11">
        <v>42282</v>
      </c>
      <c r="D240" s="11">
        <v>42283</v>
      </c>
      <c r="H240" s="12">
        <v>8</v>
      </c>
      <c r="I240" s="12">
        <v>33.8705</v>
      </c>
      <c r="J240" s="12">
        <v>91.050430000000006</v>
      </c>
      <c r="K240" s="12">
        <v>22.8</v>
      </c>
      <c r="O240" s="12">
        <v>5</v>
      </c>
      <c r="Q240" s="12">
        <v>1410</v>
      </c>
      <c r="R240" s="12">
        <v>256</v>
      </c>
      <c r="S240" s="12">
        <v>25</v>
      </c>
      <c r="T240" s="12">
        <v>1</v>
      </c>
    </row>
    <row r="241" spans="1:22" x14ac:dyDescent="0.25">
      <c r="A241" s="12">
        <v>336</v>
      </c>
      <c r="B241" s="11">
        <v>42282</v>
      </c>
      <c r="D241" s="11">
        <v>42283</v>
      </c>
      <c r="H241" s="12">
        <v>8</v>
      </c>
      <c r="I241" s="12">
        <v>33.8705</v>
      </c>
      <c r="J241" s="12">
        <v>91.050430000000006</v>
      </c>
      <c r="K241" s="12">
        <v>22.8</v>
      </c>
      <c r="O241" s="12">
        <v>5</v>
      </c>
      <c r="Q241" s="12">
        <v>1410</v>
      </c>
      <c r="R241" s="12">
        <v>149</v>
      </c>
      <c r="S241" s="12">
        <v>14</v>
      </c>
      <c r="T241" s="12">
        <v>1</v>
      </c>
    </row>
    <row r="242" spans="1:22" x14ac:dyDescent="0.25">
      <c r="A242" s="12">
        <v>336</v>
      </c>
      <c r="B242" s="11">
        <v>42282</v>
      </c>
      <c r="D242" s="11">
        <v>42283</v>
      </c>
      <c r="H242" s="12">
        <v>8</v>
      </c>
      <c r="I242" s="12">
        <v>33.8705</v>
      </c>
      <c r="J242" s="12">
        <v>91.050430000000006</v>
      </c>
      <c r="K242" s="12">
        <v>22.8</v>
      </c>
      <c r="O242" s="12">
        <v>5</v>
      </c>
      <c r="Q242" s="12">
        <v>1410</v>
      </c>
      <c r="R242" s="12">
        <v>188</v>
      </c>
      <c r="S242" s="12">
        <v>18</v>
      </c>
      <c r="T242" s="12">
        <v>1</v>
      </c>
    </row>
    <row r="243" spans="1:22" x14ac:dyDescent="0.25">
      <c r="A243" s="12">
        <v>336</v>
      </c>
      <c r="B243" s="11">
        <v>42282</v>
      </c>
      <c r="D243" s="11">
        <v>42283</v>
      </c>
      <c r="H243" s="12">
        <v>8</v>
      </c>
      <c r="I243" s="12">
        <v>33.8705</v>
      </c>
      <c r="J243" s="12">
        <v>91.050430000000006</v>
      </c>
      <c r="K243" s="12">
        <v>22.8</v>
      </c>
      <c r="O243" s="12">
        <v>5</v>
      </c>
      <c r="Q243" s="12">
        <v>1410</v>
      </c>
      <c r="R243" s="12">
        <v>173</v>
      </c>
      <c r="S243" s="12">
        <v>17</v>
      </c>
      <c r="T243" s="12">
        <v>1</v>
      </c>
    </row>
    <row r="244" spans="1:22" x14ac:dyDescent="0.25">
      <c r="A244" s="12">
        <v>336</v>
      </c>
      <c r="B244" s="11">
        <v>42282</v>
      </c>
      <c r="D244" s="11">
        <v>42283</v>
      </c>
      <c r="H244" s="12">
        <v>8</v>
      </c>
      <c r="I244" s="12">
        <v>33.8705</v>
      </c>
      <c r="J244" s="12">
        <v>91.050430000000006</v>
      </c>
      <c r="K244" s="12">
        <v>22.8</v>
      </c>
      <c r="O244" s="12">
        <v>5</v>
      </c>
      <c r="Q244" s="12">
        <v>1410</v>
      </c>
      <c r="R244" s="12">
        <v>145</v>
      </c>
      <c r="S244" s="12">
        <v>14</v>
      </c>
      <c r="T244" s="12">
        <v>1</v>
      </c>
    </row>
    <row r="245" spans="1:22" x14ac:dyDescent="0.25">
      <c r="A245" s="12">
        <v>336</v>
      </c>
      <c r="B245" s="11">
        <v>42282</v>
      </c>
      <c r="D245" s="11">
        <v>42283</v>
      </c>
      <c r="H245" s="12">
        <v>8</v>
      </c>
      <c r="I245" s="12">
        <v>33.8705</v>
      </c>
      <c r="J245" s="12">
        <v>91.050430000000006</v>
      </c>
      <c r="K245" s="12">
        <v>22.8</v>
      </c>
      <c r="O245" s="12">
        <v>5</v>
      </c>
      <c r="Q245" s="12">
        <v>1410</v>
      </c>
      <c r="R245" s="12">
        <v>157</v>
      </c>
      <c r="S245" s="12">
        <v>15</v>
      </c>
      <c r="T245" s="12">
        <v>1</v>
      </c>
    </row>
    <row r="246" spans="1:22" x14ac:dyDescent="0.25">
      <c r="A246" s="12">
        <v>336</v>
      </c>
      <c r="B246" s="11">
        <v>42282</v>
      </c>
      <c r="D246" s="11">
        <v>42283</v>
      </c>
      <c r="H246" s="12">
        <v>8</v>
      </c>
      <c r="I246" s="12">
        <v>33.8705</v>
      </c>
      <c r="J246" s="12">
        <v>91.050430000000006</v>
      </c>
      <c r="K246" s="12">
        <v>22.8</v>
      </c>
      <c r="O246" s="12">
        <v>5</v>
      </c>
      <c r="Q246" s="12">
        <v>1307</v>
      </c>
      <c r="R246" s="12">
        <v>155</v>
      </c>
      <c r="S246" s="12">
        <v>15</v>
      </c>
      <c r="T246" s="12">
        <v>1</v>
      </c>
    </row>
    <row r="247" spans="1:22" x14ac:dyDescent="0.25">
      <c r="A247" s="12">
        <v>336</v>
      </c>
      <c r="B247" s="11">
        <v>42282</v>
      </c>
      <c r="D247" s="11">
        <v>42283</v>
      </c>
      <c r="H247" s="12">
        <v>8</v>
      </c>
      <c r="I247" s="12">
        <v>33.8705</v>
      </c>
      <c r="J247" s="12">
        <v>91.050430000000006</v>
      </c>
      <c r="K247" s="12">
        <v>22.8</v>
      </c>
      <c r="O247" s="12">
        <v>5</v>
      </c>
      <c r="Q247" s="12">
        <v>1410</v>
      </c>
      <c r="R247" s="12">
        <v>203</v>
      </c>
      <c r="S247" s="12">
        <v>20</v>
      </c>
      <c r="T247" s="12">
        <v>1</v>
      </c>
    </row>
    <row r="248" spans="1:22" x14ac:dyDescent="0.25">
      <c r="A248" s="12">
        <v>336</v>
      </c>
      <c r="B248" s="11">
        <v>42282</v>
      </c>
      <c r="D248" s="11">
        <v>42283</v>
      </c>
      <c r="H248" s="12">
        <v>8</v>
      </c>
      <c r="I248" s="12">
        <v>33.8705</v>
      </c>
      <c r="J248" s="12">
        <v>91.050430000000006</v>
      </c>
      <c r="K248" s="12">
        <v>22.8</v>
      </c>
      <c r="O248" s="12">
        <v>5</v>
      </c>
      <c r="Q248" s="12">
        <v>1410</v>
      </c>
      <c r="R248" s="12">
        <v>166</v>
      </c>
      <c r="S248" s="12">
        <v>16</v>
      </c>
      <c r="T248" s="12">
        <v>1</v>
      </c>
    </row>
    <row r="249" spans="1:22" x14ac:dyDescent="0.25">
      <c r="A249" s="12">
        <v>336</v>
      </c>
      <c r="B249" s="11">
        <v>42282</v>
      </c>
      <c r="D249" s="11">
        <v>42283</v>
      </c>
      <c r="H249" s="12">
        <v>8</v>
      </c>
      <c r="I249" s="12">
        <v>33.8705</v>
      </c>
      <c r="J249" s="12">
        <v>91.050430000000006</v>
      </c>
      <c r="K249" s="12">
        <v>22.8</v>
      </c>
      <c r="O249" s="12">
        <v>5</v>
      </c>
      <c r="Q249" s="12">
        <v>1397</v>
      </c>
      <c r="R249" s="12">
        <v>144</v>
      </c>
      <c r="S249" s="12">
        <v>14</v>
      </c>
      <c r="T249" s="12">
        <v>1</v>
      </c>
    </row>
    <row r="250" spans="1:22" x14ac:dyDescent="0.25">
      <c r="A250" s="12">
        <v>336</v>
      </c>
      <c r="B250" s="11">
        <v>42282</v>
      </c>
      <c r="D250" s="11">
        <v>42283</v>
      </c>
      <c r="H250" s="12">
        <v>9</v>
      </c>
      <c r="I250" s="12">
        <v>33.083970000000001</v>
      </c>
      <c r="J250" s="12">
        <v>91.048640000000006</v>
      </c>
      <c r="K250" s="12">
        <v>21.7</v>
      </c>
      <c r="O250" s="12">
        <v>3</v>
      </c>
      <c r="Q250" s="12">
        <v>312</v>
      </c>
      <c r="R250" s="12">
        <v>72</v>
      </c>
      <c r="S250" s="12">
        <v>7</v>
      </c>
      <c r="T250" s="12">
        <v>1</v>
      </c>
    </row>
    <row r="251" spans="1:22" x14ac:dyDescent="0.25">
      <c r="A251" s="12">
        <v>336</v>
      </c>
      <c r="B251" s="11">
        <v>42282</v>
      </c>
      <c r="D251" s="11">
        <v>42283</v>
      </c>
      <c r="H251" s="12">
        <v>9</v>
      </c>
      <c r="I251" s="12">
        <v>33.083970000000001</v>
      </c>
      <c r="J251" s="12">
        <v>91.048640000000006</v>
      </c>
      <c r="K251" s="12">
        <v>21.7</v>
      </c>
      <c r="O251" s="12">
        <v>3</v>
      </c>
      <c r="Q251" s="12">
        <v>312</v>
      </c>
      <c r="R251" s="12">
        <v>55</v>
      </c>
      <c r="S251" s="12">
        <v>5</v>
      </c>
      <c r="T251" s="12">
        <v>1</v>
      </c>
      <c r="V251" s="12" t="s">
        <v>850</v>
      </c>
    </row>
    <row r="252" spans="1:22" x14ac:dyDescent="0.25">
      <c r="A252" s="12">
        <v>336</v>
      </c>
      <c r="B252" s="11">
        <v>42282</v>
      </c>
      <c r="D252" s="11">
        <v>42283</v>
      </c>
      <c r="H252" s="12">
        <v>9</v>
      </c>
      <c r="I252" s="12">
        <v>33.083970000000001</v>
      </c>
      <c r="J252" s="12">
        <v>91.048640000000006</v>
      </c>
      <c r="K252" s="12">
        <v>21.7</v>
      </c>
      <c r="O252" s="12">
        <v>3</v>
      </c>
      <c r="Q252" s="12">
        <v>312</v>
      </c>
      <c r="R252" s="12">
        <v>54</v>
      </c>
      <c r="S252" s="12">
        <v>5</v>
      </c>
      <c r="T252" s="12">
        <v>1</v>
      </c>
      <c r="V252" s="12" t="s">
        <v>850</v>
      </c>
    </row>
    <row r="253" spans="1:22" x14ac:dyDescent="0.25">
      <c r="A253" s="12">
        <v>336</v>
      </c>
      <c r="B253" s="11">
        <v>42282</v>
      </c>
      <c r="D253" s="11">
        <v>42283</v>
      </c>
      <c r="H253" s="12">
        <v>9</v>
      </c>
      <c r="I253" s="12">
        <v>33.083970000000001</v>
      </c>
      <c r="J253" s="12">
        <v>91.048640000000006</v>
      </c>
      <c r="K253" s="12">
        <v>21.7</v>
      </c>
      <c r="O253" s="12">
        <v>3</v>
      </c>
      <c r="Q253" s="12">
        <v>312</v>
      </c>
      <c r="R253" s="12">
        <v>60</v>
      </c>
      <c r="S253" s="12">
        <v>6</v>
      </c>
      <c r="T253" s="12">
        <v>1</v>
      </c>
      <c r="V253" s="12" t="s">
        <v>850</v>
      </c>
    </row>
    <row r="254" spans="1:22" x14ac:dyDescent="0.25">
      <c r="A254" s="12">
        <v>336</v>
      </c>
      <c r="B254" s="11">
        <v>42282</v>
      </c>
      <c r="D254" s="11">
        <v>42283</v>
      </c>
      <c r="H254" s="12">
        <v>9</v>
      </c>
      <c r="I254" s="12">
        <v>33.083970000000001</v>
      </c>
      <c r="J254" s="12">
        <v>91.048640000000006</v>
      </c>
      <c r="K254" s="12">
        <v>21.7</v>
      </c>
      <c r="O254" s="12">
        <v>3</v>
      </c>
      <c r="Q254" s="12">
        <v>312</v>
      </c>
      <c r="R254" s="12">
        <v>71</v>
      </c>
      <c r="S254" s="12">
        <v>7</v>
      </c>
      <c r="T254" s="12">
        <v>1</v>
      </c>
      <c r="V254" s="12" t="s">
        <v>850</v>
      </c>
    </row>
    <row r="255" spans="1:22" x14ac:dyDescent="0.25">
      <c r="A255" s="12">
        <v>336</v>
      </c>
      <c r="B255" s="11">
        <v>42282</v>
      </c>
      <c r="D255" s="11">
        <v>42283</v>
      </c>
      <c r="H255" s="12">
        <v>9</v>
      </c>
      <c r="I255" s="12">
        <v>33.083970000000001</v>
      </c>
      <c r="J255" s="12">
        <v>91.048640000000006</v>
      </c>
      <c r="K255" s="12">
        <v>21.7</v>
      </c>
      <c r="O255" s="12">
        <v>3</v>
      </c>
      <c r="Q255" s="12">
        <v>312</v>
      </c>
      <c r="R255" s="12">
        <v>61</v>
      </c>
      <c r="S255" s="12">
        <v>6</v>
      </c>
      <c r="T255" s="12">
        <v>1</v>
      </c>
      <c r="V255" s="12" t="s">
        <v>850</v>
      </c>
    </row>
    <row r="256" spans="1:22" x14ac:dyDescent="0.25">
      <c r="A256" s="12">
        <v>336</v>
      </c>
      <c r="B256" s="11">
        <v>42282</v>
      </c>
      <c r="D256" s="11">
        <v>42283</v>
      </c>
      <c r="H256" s="12">
        <v>9</v>
      </c>
      <c r="I256" s="12">
        <v>33.083970000000001</v>
      </c>
      <c r="J256" s="12">
        <v>91.048640000000006</v>
      </c>
      <c r="K256" s="12">
        <v>21.7</v>
      </c>
      <c r="O256" s="12">
        <v>3</v>
      </c>
      <c r="Q256" s="12">
        <v>1410</v>
      </c>
      <c r="R256" s="12">
        <v>287</v>
      </c>
      <c r="S256" s="12">
        <v>28</v>
      </c>
      <c r="T256" s="12">
        <v>1</v>
      </c>
      <c r="V256" s="12" t="s">
        <v>850</v>
      </c>
    </row>
    <row r="257" spans="1:22" x14ac:dyDescent="0.25">
      <c r="A257" s="12">
        <v>336</v>
      </c>
      <c r="B257" s="11">
        <v>42282</v>
      </c>
      <c r="D257" s="11">
        <v>42283</v>
      </c>
      <c r="H257" s="12">
        <v>9</v>
      </c>
      <c r="I257" s="12">
        <v>33.083970000000001</v>
      </c>
      <c r="J257" s="12">
        <v>91.048640000000006</v>
      </c>
      <c r="K257" s="12">
        <v>21.7</v>
      </c>
      <c r="O257" s="12">
        <v>3</v>
      </c>
      <c r="Q257" s="12">
        <v>1395</v>
      </c>
      <c r="R257" s="12">
        <v>200</v>
      </c>
      <c r="S257" s="12">
        <v>20</v>
      </c>
      <c r="T257" s="12">
        <v>1</v>
      </c>
      <c r="V257" s="12" t="s">
        <v>850</v>
      </c>
    </row>
    <row r="258" spans="1:22" x14ac:dyDescent="0.25">
      <c r="A258" s="12">
        <v>336</v>
      </c>
      <c r="B258" s="11">
        <v>42282</v>
      </c>
      <c r="D258" s="11">
        <v>42283</v>
      </c>
      <c r="H258" s="12">
        <v>9</v>
      </c>
      <c r="I258" s="12">
        <v>33.083970000000001</v>
      </c>
      <c r="J258" s="12">
        <v>91.048640000000006</v>
      </c>
      <c r="K258" s="12">
        <v>21.7</v>
      </c>
      <c r="O258" s="12">
        <v>3</v>
      </c>
      <c r="Q258" s="12">
        <v>1307</v>
      </c>
      <c r="R258" s="12">
        <v>244</v>
      </c>
      <c r="S258" s="12">
        <v>24</v>
      </c>
      <c r="T258" s="12">
        <v>1</v>
      </c>
      <c r="V258" s="12" t="s">
        <v>850</v>
      </c>
    </row>
    <row r="259" spans="1:22" x14ac:dyDescent="0.25">
      <c r="A259" s="12">
        <v>336</v>
      </c>
      <c r="B259" s="11">
        <v>42282</v>
      </c>
      <c r="D259" s="11">
        <v>42283</v>
      </c>
      <c r="H259" s="12">
        <v>10</v>
      </c>
      <c r="I259" s="12">
        <v>33.086120000000001</v>
      </c>
      <c r="J259" s="12">
        <v>91.043999999999997</v>
      </c>
      <c r="K259" s="12">
        <v>21.6</v>
      </c>
      <c r="O259" s="12">
        <v>5</v>
      </c>
      <c r="Q259" s="12">
        <v>1410</v>
      </c>
      <c r="R259" s="12">
        <v>250</v>
      </c>
      <c r="S259" s="12">
        <v>25</v>
      </c>
      <c r="T259" s="12">
        <v>1</v>
      </c>
      <c r="V259" s="12" t="s">
        <v>851</v>
      </c>
    </row>
    <row r="260" spans="1:22" x14ac:dyDescent="0.25">
      <c r="A260" s="12">
        <v>336</v>
      </c>
      <c r="B260" s="11">
        <v>42282</v>
      </c>
      <c r="D260" s="11">
        <v>42283</v>
      </c>
      <c r="H260" s="12">
        <v>10</v>
      </c>
      <c r="I260" s="12">
        <v>33.086120000000001</v>
      </c>
      <c r="J260" s="12">
        <v>91.043999999999997</v>
      </c>
      <c r="K260" s="12">
        <v>21.6</v>
      </c>
      <c r="O260" s="12">
        <v>5</v>
      </c>
      <c r="Q260" s="12">
        <v>1410</v>
      </c>
      <c r="R260" s="12">
        <v>333</v>
      </c>
      <c r="S260" s="12">
        <v>33</v>
      </c>
      <c r="T260" s="12">
        <v>1</v>
      </c>
    </row>
    <row r="261" spans="1:22" x14ac:dyDescent="0.25">
      <c r="A261" s="12">
        <v>336</v>
      </c>
      <c r="B261" s="11">
        <v>42282</v>
      </c>
      <c r="D261" s="11">
        <v>42283</v>
      </c>
      <c r="H261" s="12">
        <v>10</v>
      </c>
      <c r="I261" s="12">
        <v>33.086120000000001</v>
      </c>
      <c r="J261" s="12">
        <v>91.043999999999997</v>
      </c>
      <c r="K261" s="12">
        <v>21.6</v>
      </c>
      <c r="O261" s="12">
        <v>5</v>
      </c>
      <c r="Q261" s="12">
        <v>1410</v>
      </c>
      <c r="R261" s="12">
        <v>257</v>
      </c>
      <c r="S261" s="12">
        <v>25</v>
      </c>
      <c r="T261" s="12">
        <v>1</v>
      </c>
    </row>
    <row r="262" spans="1:22" x14ac:dyDescent="0.25">
      <c r="A262" s="12">
        <v>336</v>
      </c>
      <c r="B262" s="11">
        <v>42282</v>
      </c>
      <c r="D262" s="11">
        <v>42283</v>
      </c>
      <c r="H262" s="12">
        <v>10</v>
      </c>
      <c r="I262" s="12">
        <v>33.086120000000001</v>
      </c>
      <c r="J262" s="12">
        <v>91.043999999999997</v>
      </c>
      <c r="K262" s="12">
        <v>21.6</v>
      </c>
      <c r="O262" s="12">
        <v>5</v>
      </c>
      <c r="Q262" s="12">
        <v>1410</v>
      </c>
      <c r="R262" s="12">
        <v>271</v>
      </c>
      <c r="S262" s="12">
        <v>27</v>
      </c>
      <c r="T262" s="12">
        <v>1</v>
      </c>
    </row>
    <row r="263" spans="1:22" x14ac:dyDescent="0.25">
      <c r="A263" s="12">
        <v>336</v>
      </c>
      <c r="B263" s="11">
        <v>42282</v>
      </c>
      <c r="D263" s="11">
        <v>42283</v>
      </c>
      <c r="H263" s="12">
        <v>10</v>
      </c>
      <c r="I263" s="12">
        <v>33.086120000000001</v>
      </c>
      <c r="J263" s="12">
        <v>91.043999999999997</v>
      </c>
      <c r="K263" s="12">
        <v>21.6</v>
      </c>
      <c r="O263" s="12">
        <v>5</v>
      </c>
      <c r="Q263" s="12">
        <v>1410</v>
      </c>
      <c r="R263" s="12">
        <v>244</v>
      </c>
      <c r="S263" s="12">
        <v>24</v>
      </c>
      <c r="T263" s="12">
        <v>1</v>
      </c>
    </row>
    <row r="264" spans="1:22" x14ac:dyDescent="0.25">
      <c r="A264" s="12">
        <v>336</v>
      </c>
      <c r="B264" s="11">
        <v>42282</v>
      </c>
      <c r="D264" s="11">
        <v>42283</v>
      </c>
      <c r="H264" s="12">
        <v>10</v>
      </c>
      <c r="I264" s="12">
        <v>33.086120000000001</v>
      </c>
      <c r="J264" s="12">
        <v>91.043999999999997</v>
      </c>
      <c r="K264" s="12">
        <v>21.6</v>
      </c>
      <c r="O264" s="12">
        <v>5</v>
      </c>
      <c r="Q264" s="12">
        <v>1410</v>
      </c>
      <c r="R264" s="12">
        <v>253</v>
      </c>
      <c r="S264" s="12">
        <v>25</v>
      </c>
      <c r="T264" s="12">
        <v>1</v>
      </c>
    </row>
    <row r="265" spans="1:22" x14ac:dyDescent="0.25">
      <c r="A265" s="12">
        <v>336</v>
      </c>
      <c r="B265" s="11">
        <v>42282</v>
      </c>
      <c r="D265" s="11">
        <v>42283</v>
      </c>
      <c r="H265" s="12">
        <v>10</v>
      </c>
      <c r="I265" s="12">
        <v>33.086120000000001</v>
      </c>
      <c r="J265" s="12">
        <v>91.043999999999997</v>
      </c>
      <c r="K265" s="12">
        <v>21.6</v>
      </c>
      <c r="O265" s="12">
        <v>5</v>
      </c>
      <c r="Q265" s="12">
        <v>1410</v>
      </c>
      <c r="R265" s="12">
        <v>321</v>
      </c>
      <c r="S265" s="12">
        <v>32</v>
      </c>
      <c r="T265" s="12">
        <v>1</v>
      </c>
    </row>
    <row r="266" spans="1:22" x14ac:dyDescent="0.25">
      <c r="A266" s="12">
        <v>336</v>
      </c>
      <c r="B266" s="11">
        <v>42282</v>
      </c>
      <c r="D266" s="11">
        <v>42283</v>
      </c>
      <c r="H266" s="12">
        <v>10</v>
      </c>
      <c r="I266" s="12">
        <v>33.086120000000001</v>
      </c>
      <c r="J266" s="12">
        <v>91.043999999999997</v>
      </c>
      <c r="K266" s="12">
        <v>21.6</v>
      </c>
      <c r="O266" s="12">
        <v>5</v>
      </c>
      <c r="Q266" s="12">
        <v>1410</v>
      </c>
      <c r="R266" s="12">
        <v>246</v>
      </c>
      <c r="S266" s="12">
        <v>24</v>
      </c>
      <c r="T266" s="12">
        <v>1</v>
      </c>
    </row>
    <row r="267" spans="1:22" x14ac:dyDescent="0.25">
      <c r="A267" s="12">
        <v>336</v>
      </c>
      <c r="B267" s="11">
        <v>42282</v>
      </c>
      <c r="D267" s="11">
        <v>42283</v>
      </c>
      <c r="H267" s="12">
        <v>10</v>
      </c>
      <c r="I267" s="12">
        <v>33.086120000000001</v>
      </c>
      <c r="J267" s="12">
        <v>91.043999999999997</v>
      </c>
      <c r="K267" s="12">
        <v>21.6</v>
      </c>
      <c r="O267" s="12">
        <v>5</v>
      </c>
      <c r="Q267" s="12">
        <v>1410</v>
      </c>
      <c r="R267" s="12">
        <v>316</v>
      </c>
      <c r="S267" s="12">
        <v>31</v>
      </c>
      <c r="T267" s="12">
        <v>1</v>
      </c>
    </row>
    <row r="268" spans="1:22" x14ac:dyDescent="0.25">
      <c r="A268" s="12">
        <v>336</v>
      </c>
      <c r="B268" s="11">
        <v>42282</v>
      </c>
      <c r="D268" s="11">
        <v>42283</v>
      </c>
      <c r="H268" s="12">
        <v>10</v>
      </c>
      <c r="I268" s="12">
        <v>33.086120000000001</v>
      </c>
      <c r="J268" s="12">
        <v>91.043999999999997</v>
      </c>
      <c r="K268" s="12">
        <v>21.6</v>
      </c>
      <c r="O268" s="12">
        <v>5</v>
      </c>
      <c r="Q268" s="12">
        <v>1410</v>
      </c>
      <c r="R268" s="12">
        <v>240</v>
      </c>
      <c r="S268" s="12">
        <v>24</v>
      </c>
      <c r="T268" s="12">
        <v>1</v>
      </c>
    </row>
    <row r="269" spans="1:22" x14ac:dyDescent="0.25">
      <c r="A269" s="12">
        <v>336</v>
      </c>
      <c r="B269" s="11">
        <v>42282</v>
      </c>
      <c r="D269" s="11">
        <v>42283</v>
      </c>
      <c r="H269" s="12">
        <v>10</v>
      </c>
      <c r="I269" s="12">
        <v>33.086120000000001</v>
      </c>
      <c r="J269" s="12">
        <v>91.043999999999997</v>
      </c>
      <c r="K269" s="12">
        <v>21.6</v>
      </c>
      <c r="O269" s="12">
        <v>5</v>
      </c>
      <c r="Q269" s="12">
        <v>1410</v>
      </c>
      <c r="R269" s="12">
        <v>239</v>
      </c>
      <c r="S269" s="12">
        <v>23</v>
      </c>
      <c r="T269" s="12">
        <v>1</v>
      </c>
    </row>
    <row r="270" spans="1:22" x14ac:dyDescent="0.25">
      <c r="A270" s="12">
        <v>336</v>
      </c>
      <c r="B270" s="11">
        <v>42282</v>
      </c>
      <c r="D270" s="11">
        <v>42283</v>
      </c>
      <c r="H270" s="12">
        <v>10</v>
      </c>
      <c r="I270" s="12">
        <v>33.086120000000001</v>
      </c>
      <c r="J270" s="12">
        <v>91.043999999999997</v>
      </c>
      <c r="K270" s="12">
        <v>21.6</v>
      </c>
      <c r="O270" s="12">
        <v>5</v>
      </c>
      <c r="Q270" s="12">
        <v>1410</v>
      </c>
      <c r="R270" s="12">
        <v>256</v>
      </c>
      <c r="S270" s="12">
        <v>25</v>
      </c>
      <c r="T270" s="12">
        <v>1</v>
      </c>
    </row>
    <row r="271" spans="1:22" x14ac:dyDescent="0.25">
      <c r="A271" s="12">
        <v>336</v>
      </c>
      <c r="B271" s="11">
        <v>42282</v>
      </c>
      <c r="D271" s="11">
        <v>42283</v>
      </c>
      <c r="H271" s="12">
        <v>10</v>
      </c>
      <c r="I271" s="12">
        <v>33.086120000000001</v>
      </c>
      <c r="J271" s="12">
        <v>91.043999999999997</v>
      </c>
      <c r="K271" s="12">
        <v>21.6</v>
      </c>
      <c r="O271" s="12">
        <v>5</v>
      </c>
      <c r="Q271" s="12">
        <v>311</v>
      </c>
      <c r="R271" s="12">
        <v>316</v>
      </c>
      <c r="S271" s="12">
        <v>31</v>
      </c>
      <c r="T271" s="12">
        <v>1</v>
      </c>
    </row>
    <row r="272" spans="1:22" x14ac:dyDescent="0.25">
      <c r="A272" s="12">
        <v>336</v>
      </c>
      <c r="B272" s="11">
        <v>42282</v>
      </c>
      <c r="D272" s="11">
        <v>42283</v>
      </c>
      <c r="H272" s="12">
        <v>10</v>
      </c>
      <c r="I272" s="12">
        <v>33.086120000000001</v>
      </c>
      <c r="J272" s="12">
        <v>91.043999999999997</v>
      </c>
      <c r="K272" s="12">
        <v>21.6</v>
      </c>
      <c r="O272" s="12">
        <v>5</v>
      </c>
      <c r="Q272" s="12">
        <v>1758</v>
      </c>
      <c r="R272" s="12">
        <v>305</v>
      </c>
      <c r="S272" s="12">
        <v>30</v>
      </c>
      <c r="T272" s="12">
        <v>1</v>
      </c>
    </row>
    <row r="273" spans="1:20" x14ac:dyDescent="0.25">
      <c r="A273" s="12">
        <v>336</v>
      </c>
      <c r="B273" s="11">
        <v>42282</v>
      </c>
      <c r="D273" s="11">
        <v>42283</v>
      </c>
      <c r="H273" s="12">
        <v>10</v>
      </c>
      <c r="I273" s="12">
        <v>33.086120000000001</v>
      </c>
      <c r="J273" s="12">
        <v>91.043999999999997</v>
      </c>
      <c r="K273" s="12">
        <v>21.6</v>
      </c>
      <c r="O273" s="12">
        <v>5</v>
      </c>
      <c r="Q273" s="12">
        <v>1758</v>
      </c>
      <c r="R273" s="12">
        <v>333</v>
      </c>
      <c r="S273" s="12">
        <v>33</v>
      </c>
      <c r="T273" s="12">
        <v>1</v>
      </c>
    </row>
    <row r="274" spans="1:20" x14ac:dyDescent="0.25">
      <c r="A274" s="12">
        <v>336</v>
      </c>
      <c r="B274" s="11">
        <v>42282</v>
      </c>
      <c r="D274" s="11">
        <v>42283</v>
      </c>
      <c r="H274" s="12">
        <v>10</v>
      </c>
      <c r="I274" s="12">
        <v>33.086120000000001</v>
      </c>
      <c r="J274" s="12">
        <v>91.043999999999997</v>
      </c>
      <c r="K274" s="12">
        <v>21.6</v>
      </c>
      <c r="O274" s="12">
        <v>5</v>
      </c>
      <c r="Q274" s="12">
        <v>1758</v>
      </c>
      <c r="R274" s="12">
        <v>274</v>
      </c>
      <c r="S274" s="12">
        <v>27</v>
      </c>
      <c r="T274" s="12">
        <v>1</v>
      </c>
    </row>
    <row r="275" spans="1:20" x14ac:dyDescent="0.25">
      <c r="A275" s="12">
        <v>336</v>
      </c>
      <c r="B275" s="11">
        <v>42282</v>
      </c>
      <c r="D275" s="11">
        <v>42283</v>
      </c>
      <c r="H275" s="12">
        <v>10</v>
      </c>
      <c r="I275" s="12">
        <v>33.086120000000001</v>
      </c>
      <c r="J275" s="12">
        <v>91.043999999999997</v>
      </c>
      <c r="K275" s="12">
        <v>21.6</v>
      </c>
      <c r="O275" s="12">
        <v>5</v>
      </c>
      <c r="Q275" s="12">
        <v>1758</v>
      </c>
      <c r="R275" s="12">
        <v>300</v>
      </c>
      <c r="S275" s="12">
        <v>30</v>
      </c>
      <c r="T275" s="12">
        <v>1</v>
      </c>
    </row>
    <row r="276" spans="1:20" x14ac:dyDescent="0.25">
      <c r="A276" s="12">
        <v>336</v>
      </c>
      <c r="B276" s="11">
        <v>42282</v>
      </c>
      <c r="D276" s="11">
        <v>42283</v>
      </c>
      <c r="H276" s="12">
        <v>10</v>
      </c>
      <c r="I276" s="12">
        <v>33.086120000000001</v>
      </c>
      <c r="J276" s="12">
        <v>91.043999999999997</v>
      </c>
      <c r="K276" s="12">
        <v>21.6</v>
      </c>
      <c r="O276" s="12">
        <v>5</v>
      </c>
      <c r="Q276" s="12">
        <v>1758</v>
      </c>
      <c r="R276" s="12">
        <v>368</v>
      </c>
      <c r="S276" s="12">
        <v>36</v>
      </c>
      <c r="T276" s="12">
        <v>1</v>
      </c>
    </row>
    <row r="277" spans="1:20" x14ac:dyDescent="0.25">
      <c r="A277" s="12">
        <v>336</v>
      </c>
      <c r="B277" s="11">
        <v>42282</v>
      </c>
      <c r="D277" s="11">
        <v>42283</v>
      </c>
      <c r="H277" s="12">
        <v>10</v>
      </c>
      <c r="I277" s="12">
        <v>33.086120000000001</v>
      </c>
      <c r="J277" s="12">
        <v>91.043999999999997</v>
      </c>
      <c r="K277" s="12">
        <v>21.6</v>
      </c>
      <c r="O277" s="12">
        <v>5</v>
      </c>
      <c r="Q277" s="12">
        <v>1758</v>
      </c>
      <c r="R277" s="12">
        <v>317</v>
      </c>
      <c r="S277" s="12">
        <v>31</v>
      </c>
      <c r="T277" s="12">
        <v>1</v>
      </c>
    </row>
    <row r="278" spans="1:20" x14ac:dyDescent="0.25">
      <c r="A278" s="12">
        <v>336</v>
      </c>
      <c r="B278" s="11">
        <v>42282</v>
      </c>
      <c r="D278" s="11">
        <v>42283</v>
      </c>
      <c r="H278" s="12">
        <v>10</v>
      </c>
      <c r="I278" s="12">
        <v>33.086120000000001</v>
      </c>
      <c r="J278" s="12">
        <v>91.043999999999997</v>
      </c>
      <c r="K278" s="12">
        <v>21.6</v>
      </c>
      <c r="O278" s="12">
        <v>5</v>
      </c>
      <c r="Q278" s="12">
        <v>1758</v>
      </c>
      <c r="R278" s="12">
        <v>295</v>
      </c>
      <c r="S278" s="12">
        <v>29</v>
      </c>
      <c r="T278" s="12">
        <v>1</v>
      </c>
    </row>
    <row r="279" spans="1:20" x14ac:dyDescent="0.25">
      <c r="A279" s="12">
        <v>336</v>
      </c>
      <c r="B279" s="11">
        <v>42282</v>
      </c>
      <c r="D279" s="11">
        <v>42283</v>
      </c>
      <c r="H279" s="12">
        <v>10</v>
      </c>
      <c r="I279" s="12">
        <v>33.086120000000001</v>
      </c>
      <c r="J279" s="12">
        <v>91.043999999999997</v>
      </c>
      <c r="K279" s="12">
        <v>21.6</v>
      </c>
      <c r="O279" s="12">
        <v>5</v>
      </c>
      <c r="Q279" s="12">
        <v>1758</v>
      </c>
      <c r="R279" s="12">
        <v>295</v>
      </c>
      <c r="S279" s="12">
        <v>29</v>
      </c>
      <c r="T279" s="12">
        <v>1</v>
      </c>
    </row>
    <row r="280" spans="1:20" x14ac:dyDescent="0.25">
      <c r="A280" s="12">
        <v>336</v>
      </c>
      <c r="B280" s="11">
        <v>42282</v>
      </c>
      <c r="D280" s="11">
        <v>42283</v>
      </c>
      <c r="H280" s="12">
        <v>10</v>
      </c>
      <c r="I280" s="12">
        <v>33.086120000000001</v>
      </c>
      <c r="J280" s="12">
        <v>91.043999999999997</v>
      </c>
      <c r="K280" s="12">
        <v>21.6</v>
      </c>
      <c r="O280" s="12">
        <v>5</v>
      </c>
      <c r="Q280" s="12">
        <v>1758</v>
      </c>
      <c r="R280" s="12">
        <v>324</v>
      </c>
      <c r="S280" s="12">
        <v>32</v>
      </c>
      <c r="T280" s="12">
        <v>1</v>
      </c>
    </row>
    <row r="281" spans="1:20" x14ac:dyDescent="0.25">
      <c r="A281" s="12">
        <v>336</v>
      </c>
      <c r="B281" s="11">
        <v>42282</v>
      </c>
      <c r="D281" s="11">
        <v>42283</v>
      </c>
      <c r="H281" s="12">
        <v>10</v>
      </c>
      <c r="I281" s="12">
        <v>33.086120000000001</v>
      </c>
      <c r="J281" s="12">
        <v>91.043999999999997</v>
      </c>
      <c r="K281" s="12">
        <v>21.6</v>
      </c>
      <c r="O281" s="12">
        <v>5</v>
      </c>
      <c r="Q281" s="12">
        <v>1758</v>
      </c>
      <c r="R281" s="12">
        <v>405</v>
      </c>
      <c r="S281" s="12">
        <v>40</v>
      </c>
      <c r="T281" s="12">
        <v>1</v>
      </c>
    </row>
    <row r="282" spans="1:20" x14ac:dyDescent="0.25">
      <c r="A282" s="12">
        <v>336</v>
      </c>
      <c r="B282" s="11">
        <v>42282</v>
      </c>
      <c r="D282" s="11">
        <v>42283</v>
      </c>
      <c r="H282" s="12">
        <v>10</v>
      </c>
      <c r="I282" s="12">
        <v>33.086120000000001</v>
      </c>
      <c r="J282" s="12">
        <v>91.043999999999997</v>
      </c>
      <c r="K282" s="12">
        <v>21.6</v>
      </c>
      <c r="O282" s="12">
        <v>5</v>
      </c>
      <c r="Q282" s="12">
        <v>311</v>
      </c>
      <c r="R282" s="12">
        <v>245</v>
      </c>
      <c r="S282" s="12">
        <v>24</v>
      </c>
      <c r="T282" s="12">
        <v>1</v>
      </c>
    </row>
    <row r="283" spans="1:20" x14ac:dyDescent="0.25">
      <c r="A283" s="12">
        <v>336</v>
      </c>
      <c r="B283" s="11">
        <v>42282</v>
      </c>
      <c r="D283" s="11">
        <v>42283</v>
      </c>
      <c r="H283" s="12">
        <v>10</v>
      </c>
      <c r="I283" s="12">
        <v>33.086120000000001</v>
      </c>
      <c r="J283" s="12">
        <v>91.043999999999997</v>
      </c>
      <c r="K283" s="12">
        <v>21.6</v>
      </c>
      <c r="O283" s="12">
        <v>5</v>
      </c>
      <c r="Q283" s="12">
        <v>1307</v>
      </c>
      <c r="R283" s="12">
        <v>263</v>
      </c>
      <c r="S283" s="12">
        <v>26</v>
      </c>
      <c r="T283" s="12">
        <v>1</v>
      </c>
    </row>
    <row r="284" spans="1:20" x14ac:dyDescent="0.25">
      <c r="A284" s="12">
        <v>336</v>
      </c>
      <c r="B284" s="11">
        <v>42282</v>
      </c>
      <c r="D284" s="11">
        <v>42283</v>
      </c>
      <c r="H284" s="12">
        <v>10</v>
      </c>
      <c r="I284" s="12">
        <v>33.086120000000001</v>
      </c>
      <c r="J284" s="12">
        <v>91.043999999999997</v>
      </c>
      <c r="K284" s="12">
        <v>21.6</v>
      </c>
      <c r="O284" s="12">
        <v>5</v>
      </c>
      <c r="Q284" s="12">
        <v>910</v>
      </c>
      <c r="R284" s="12">
        <v>225</v>
      </c>
      <c r="S284" s="12">
        <v>22</v>
      </c>
      <c r="T284" s="12">
        <v>1</v>
      </c>
    </row>
    <row r="285" spans="1:20" x14ac:dyDescent="0.25">
      <c r="A285" s="12">
        <v>336</v>
      </c>
      <c r="B285" s="11">
        <v>42282</v>
      </c>
      <c r="D285" s="11">
        <v>42283</v>
      </c>
      <c r="H285" s="12">
        <v>10</v>
      </c>
      <c r="I285" s="12">
        <v>33.086120000000001</v>
      </c>
      <c r="J285" s="12">
        <v>91.043999999999997</v>
      </c>
      <c r="K285" s="12">
        <v>21.6</v>
      </c>
      <c r="O285" s="12">
        <v>5</v>
      </c>
      <c r="Q285" s="12">
        <v>1758</v>
      </c>
      <c r="R285" s="12">
        <v>272</v>
      </c>
      <c r="S285" s="12">
        <v>27</v>
      </c>
      <c r="T285" s="12">
        <v>1</v>
      </c>
    </row>
    <row r="286" spans="1:20" x14ac:dyDescent="0.25">
      <c r="A286" s="12">
        <v>336</v>
      </c>
      <c r="B286" s="11">
        <v>42282</v>
      </c>
      <c r="D286" s="11">
        <v>42283</v>
      </c>
      <c r="H286" s="12">
        <v>10</v>
      </c>
      <c r="I286" s="12">
        <v>33.086120000000001</v>
      </c>
      <c r="J286" s="12">
        <v>91.043999999999997</v>
      </c>
      <c r="K286" s="12">
        <v>21.6</v>
      </c>
      <c r="O286" s="12">
        <v>5</v>
      </c>
      <c r="Q286" s="12">
        <v>1307</v>
      </c>
      <c r="R286" s="12">
        <v>209</v>
      </c>
      <c r="S286" s="12">
        <v>20</v>
      </c>
      <c r="T286" s="12">
        <v>1</v>
      </c>
    </row>
    <row r="287" spans="1:20" x14ac:dyDescent="0.25">
      <c r="A287" s="12">
        <v>336</v>
      </c>
      <c r="B287" s="11">
        <v>42282</v>
      </c>
      <c r="D287" s="11">
        <v>42283</v>
      </c>
      <c r="H287" s="12">
        <v>10</v>
      </c>
      <c r="I287" s="12">
        <v>33.086120000000001</v>
      </c>
      <c r="J287" s="12">
        <v>91.043999999999997</v>
      </c>
      <c r="K287" s="12">
        <v>21.6</v>
      </c>
      <c r="O287" s="12">
        <v>5</v>
      </c>
      <c r="Q287" s="12">
        <v>1409</v>
      </c>
      <c r="R287" s="12">
        <v>138</v>
      </c>
      <c r="S287" s="12">
        <v>13</v>
      </c>
      <c r="T287" s="12">
        <v>1</v>
      </c>
    </row>
    <row r="288" spans="1:20" x14ac:dyDescent="0.25">
      <c r="A288" s="12">
        <v>336</v>
      </c>
      <c r="B288" s="11">
        <v>42282</v>
      </c>
      <c r="D288" s="11">
        <v>42283</v>
      </c>
      <c r="H288" s="12">
        <v>10</v>
      </c>
      <c r="I288" s="12">
        <v>33.086120000000001</v>
      </c>
      <c r="J288" s="12">
        <v>91.043999999999997</v>
      </c>
      <c r="K288" s="12">
        <v>21.6</v>
      </c>
      <c r="O288" s="12">
        <v>5</v>
      </c>
      <c r="Q288" s="12">
        <v>1410</v>
      </c>
      <c r="R288" s="12">
        <v>139</v>
      </c>
      <c r="S288" s="12">
        <v>13</v>
      </c>
      <c r="T288" s="12">
        <v>1</v>
      </c>
    </row>
    <row r="289" spans="1:20" x14ac:dyDescent="0.25">
      <c r="A289" s="12">
        <v>336</v>
      </c>
      <c r="B289" s="11">
        <v>42282</v>
      </c>
      <c r="D289" s="11">
        <v>42283</v>
      </c>
      <c r="H289" s="12">
        <v>11</v>
      </c>
      <c r="I289" s="12">
        <v>33.097909999999999</v>
      </c>
      <c r="J289" s="12">
        <v>91.064800000000005</v>
      </c>
      <c r="K289" s="12">
        <v>21.8</v>
      </c>
      <c r="O289" s="12">
        <v>3</v>
      </c>
      <c r="Q289" s="12">
        <v>1396</v>
      </c>
      <c r="R289" s="12">
        <v>85</v>
      </c>
      <c r="S289" s="12">
        <v>8</v>
      </c>
      <c r="T289" s="12">
        <v>1</v>
      </c>
    </row>
    <row r="290" spans="1:20" x14ac:dyDescent="0.25">
      <c r="A290" s="12">
        <v>336</v>
      </c>
      <c r="B290" s="11">
        <v>42282</v>
      </c>
      <c r="D290" s="11">
        <v>42283</v>
      </c>
      <c r="H290" s="12">
        <v>11</v>
      </c>
      <c r="I290" s="12">
        <v>33.097909999999999</v>
      </c>
      <c r="J290" s="12">
        <v>91.064800000000005</v>
      </c>
      <c r="K290" s="12">
        <v>21.8</v>
      </c>
      <c r="O290" s="12">
        <v>3</v>
      </c>
      <c r="Q290" s="12">
        <v>1396</v>
      </c>
      <c r="R290" s="12">
        <v>67</v>
      </c>
      <c r="S290" s="12">
        <v>6</v>
      </c>
      <c r="T290" s="12">
        <v>1</v>
      </c>
    </row>
    <row r="291" spans="1:20" x14ac:dyDescent="0.25">
      <c r="A291" s="12">
        <v>336</v>
      </c>
      <c r="B291" s="11">
        <v>42282</v>
      </c>
      <c r="D291" s="11">
        <v>42283</v>
      </c>
      <c r="H291" s="12">
        <v>11</v>
      </c>
      <c r="I291" s="12">
        <v>33.097909999999999</v>
      </c>
      <c r="J291" s="12">
        <v>91.064800000000005</v>
      </c>
      <c r="K291" s="12">
        <v>21.8</v>
      </c>
      <c r="O291" s="12">
        <v>3</v>
      </c>
      <c r="Q291" s="12">
        <v>1396</v>
      </c>
      <c r="R291" s="12">
        <v>67</v>
      </c>
      <c r="S291" s="12">
        <v>6</v>
      </c>
      <c r="T291" s="12">
        <v>1</v>
      </c>
    </row>
    <row r="292" spans="1:20" x14ac:dyDescent="0.25">
      <c r="A292" s="12">
        <v>336</v>
      </c>
      <c r="B292" s="11">
        <v>42282</v>
      </c>
      <c r="D292" s="11">
        <v>42283</v>
      </c>
      <c r="H292" s="12">
        <v>11</v>
      </c>
      <c r="I292" s="12">
        <v>33.097909999999999</v>
      </c>
      <c r="J292" s="12">
        <v>91.064800000000005</v>
      </c>
      <c r="K292" s="12">
        <v>21.8</v>
      </c>
      <c r="O292" s="12">
        <v>3</v>
      </c>
      <c r="Q292" s="12">
        <v>1395</v>
      </c>
      <c r="R292" s="12">
        <v>117</v>
      </c>
      <c r="S292" s="12">
        <v>11</v>
      </c>
      <c r="T292" s="12">
        <v>1</v>
      </c>
    </row>
    <row r="293" spans="1:20" x14ac:dyDescent="0.25">
      <c r="A293" s="12">
        <v>336</v>
      </c>
      <c r="B293" s="11">
        <v>42282</v>
      </c>
      <c r="D293" s="11">
        <v>42283</v>
      </c>
      <c r="H293" s="12">
        <v>11</v>
      </c>
      <c r="I293" s="12">
        <v>33.097909999999999</v>
      </c>
      <c r="J293" s="12">
        <v>91.064800000000005</v>
      </c>
      <c r="K293" s="12">
        <v>21.8</v>
      </c>
      <c r="O293" s="12">
        <v>3</v>
      </c>
      <c r="Q293" s="12">
        <v>1409</v>
      </c>
      <c r="R293" s="12">
        <v>70</v>
      </c>
      <c r="S293" s="12">
        <v>7</v>
      </c>
      <c r="T293" s="12">
        <v>1</v>
      </c>
    </row>
    <row r="294" spans="1:20" x14ac:dyDescent="0.25">
      <c r="A294" s="12">
        <v>336</v>
      </c>
      <c r="B294" s="11">
        <v>42282</v>
      </c>
      <c r="D294" s="11">
        <v>42283</v>
      </c>
      <c r="H294" s="12">
        <v>11</v>
      </c>
      <c r="I294" s="12">
        <v>33.097909999999999</v>
      </c>
      <c r="J294" s="12">
        <v>91.064800000000005</v>
      </c>
      <c r="K294" s="12">
        <v>21.8</v>
      </c>
      <c r="O294" s="12">
        <v>3</v>
      </c>
      <c r="Q294" s="12">
        <v>1409</v>
      </c>
      <c r="R294" s="12">
        <v>72</v>
      </c>
      <c r="S294" s="12">
        <v>7</v>
      </c>
      <c r="T294" s="12">
        <v>1</v>
      </c>
    </row>
    <row r="295" spans="1:20" x14ac:dyDescent="0.25">
      <c r="A295" s="12">
        <v>336</v>
      </c>
      <c r="B295" s="11">
        <v>42282</v>
      </c>
      <c r="D295" s="11">
        <v>42283</v>
      </c>
      <c r="H295" s="12">
        <v>11</v>
      </c>
      <c r="I295" s="12">
        <v>33.097909999999999</v>
      </c>
      <c r="J295" s="12">
        <v>91.064800000000005</v>
      </c>
      <c r="K295" s="12">
        <v>21.8</v>
      </c>
      <c r="O295" s="12">
        <v>3</v>
      </c>
      <c r="Q295" s="12">
        <v>1409</v>
      </c>
      <c r="R295" s="12">
        <v>93</v>
      </c>
      <c r="S295" s="12">
        <v>9</v>
      </c>
      <c r="T295" s="12">
        <v>1</v>
      </c>
    </row>
    <row r="296" spans="1:20" x14ac:dyDescent="0.25">
      <c r="A296" s="12">
        <v>336</v>
      </c>
      <c r="B296" s="11">
        <v>42282</v>
      </c>
      <c r="D296" s="11">
        <v>42283</v>
      </c>
      <c r="H296" s="12">
        <v>11</v>
      </c>
      <c r="I296" s="12">
        <v>33.097909999999999</v>
      </c>
      <c r="J296" s="12">
        <v>91.064800000000005</v>
      </c>
      <c r="K296" s="12">
        <v>21.8</v>
      </c>
      <c r="O296" s="12">
        <v>3</v>
      </c>
      <c r="Q296" s="12">
        <v>1409</v>
      </c>
      <c r="R296" s="12">
        <v>113</v>
      </c>
      <c r="S296" s="12">
        <v>11</v>
      </c>
      <c r="T296" s="12">
        <v>1</v>
      </c>
    </row>
    <row r="297" spans="1:20" x14ac:dyDescent="0.25">
      <c r="A297" s="12">
        <v>336</v>
      </c>
      <c r="B297" s="11">
        <v>42282</v>
      </c>
      <c r="D297" s="11">
        <v>42283</v>
      </c>
      <c r="H297" s="12">
        <v>11</v>
      </c>
      <c r="I297" s="12">
        <v>33.097909999999999</v>
      </c>
      <c r="J297" s="12">
        <v>91.064800000000005</v>
      </c>
      <c r="K297" s="12">
        <v>21.8</v>
      </c>
      <c r="O297" s="12">
        <v>3</v>
      </c>
      <c r="Q297" s="12">
        <v>1409</v>
      </c>
      <c r="R297" s="12">
        <v>77</v>
      </c>
      <c r="S297" s="12">
        <v>7</v>
      </c>
      <c r="T297" s="12">
        <v>1</v>
      </c>
    </row>
    <row r="298" spans="1:20" x14ac:dyDescent="0.25">
      <c r="A298" s="12">
        <v>336</v>
      </c>
      <c r="B298" s="11">
        <v>42282</v>
      </c>
      <c r="D298" s="11">
        <v>42283</v>
      </c>
      <c r="H298" s="12">
        <v>11</v>
      </c>
      <c r="I298" s="12">
        <v>33.097909999999999</v>
      </c>
      <c r="J298" s="12">
        <v>91.064800000000005</v>
      </c>
      <c r="K298" s="12">
        <v>21.8</v>
      </c>
      <c r="O298" s="12">
        <v>3</v>
      </c>
      <c r="Q298" s="12">
        <v>1410</v>
      </c>
      <c r="R298" s="12">
        <v>113</v>
      </c>
      <c r="S298" s="12">
        <v>11</v>
      </c>
      <c r="T298" s="12">
        <v>1</v>
      </c>
    </row>
    <row r="299" spans="1:20" x14ac:dyDescent="0.25">
      <c r="A299" s="12">
        <v>336</v>
      </c>
      <c r="B299" s="11">
        <v>42282</v>
      </c>
      <c r="D299" s="11">
        <v>42283</v>
      </c>
      <c r="H299" s="12">
        <v>11</v>
      </c>
      <c r="I299" s="12">
        <v>33.097909999999999</v>
      </c>
      <c r="J299" s="12">
        <v>91.064800000000005</v>
      </c>
      <c r="K299" s="12">
        <v>21.8</v>
      </c>
      <c r="O299" s="12">
        <v>3</v>
      </c>
      <c r="Q299" s="12">
        <v>1410</v>
      </c>
      <c r="R299" s="12">
        <v>147</v>
      </c>
      <c r="S299" s="12">
        <v>14</v>
      </c>
      <c r="T299" s="12">
        <v>1</v>
      </c>
    </row>
    <row r="300" spans="1:20" x14ac:dyDescent="0.25">
      <c r="A300" s="12">
        <v>336</v>
      </c>
      <c r="B300" s="11">
        <v>42282</v>
      </c>
      <c r="D300" s="11">
        <v>42283</v>
      </c>
      <c r="H300" s="12">
        <v>12</v>
      </c>
      <c r="I300" s="12">
        <v>33.091000000000001</v>
      </c>
      <c r="J300" s="12">
        <v>91.037419999999997</v>
      </c>
      <c r="K300" s="12">
        <v>21.4</v>
      </c>
      <c r="O300" s="12">
        <v>5</v>
      </c>
      <c r="Q300" s="12">
        <v>1410</v>
      </c>
      <c r="R300" s="12">
        <v>165</v>
      </c>
      <c r="S300" s="12">
        <v>16</v>
      </c>
      <c r="T300" s="12">
        <v>1</v>
      </c>
    </row>
    <row r="301" spans="1:20" x14ac:dyDescent="0.25">
      <c r="A301" s="12">
        <v>336</v>
      </c>
      <c r="B301" s="11">
        <v>42282</v>
      </c>
      <c r="D301" s="11">
        <v>42283</v>
      </c>
      <c r="H301" s="12">
        <v>12</v>
      </c>
      <c r="I301" s="12">
        <v>33.091000000000001</v>
      </c>
      <c r="J301" s="12">
        <v>91.037419999999997</v>
      </c>
      <c r="K301" s="12">
        <v>21.4</v>
      </c>
      <c r="O301" s="12">
        <v>5</v>
      </c>
      <c r="Q301" s="12">
        <v>1410</v>
      </c>
      <c r="R301" s="12">
        <v>135</v>
      </c>
      <c r="S301" s="12">
        <v>13</v>
      </c>
      <c r="T301" s="12">
        <v>1</v>
      </c>
    </row>
    <row r="302" spans="1:20" x14ac:dyDescent="0.25">
      <c r="A302" s="12">
        <v>336</v>
      </c>
      <c r="B302" s="11">
        <v>42282</v>
      </c>
      <c r="D302" s="11">
        <v>42283</v>
      </c>
      <c r="H302" s="12">
        <v>12</v>
      </c>
      <c r="I302" s="12">
        <v>33.091000000000001</v>
      </c>
      <c r="J302" s="12">
        <v>91.037419999999997</v>
      </c>
      <c r="K302" s="12">
        <v>21.4</v>
      </c>
      <c r="O302" s="12">
        <v>5</v>
      </c>
      <c r="Q302" s="12">
        <v>1410</v>
      </c>
      <c r="R302" s="12">
        <v>210</v>
      </c>
      <c r="S302" s="12">
        <v>21</v>
      </c>
      <c r="T302" s="12">
        <v>1</v>
      </c>
    </row>
    <row r="303" spans="1:20" x14ac:dyDescent="0.25">
      <c r="A303" s="12">
        <v>336</v>
      </c>
      <c r="B303" s="11">
        <v>42282</v>
      </c>
      <c r="D303" s="11">
        <v>42283</v>
      </c>
      <c r="H303" s="12">
        <v>12</v>
      </c>
      <c r="I303" s="12">
        <v>33.091000000000001</v>
      </c>
      <c r="J303" s="12">
        <v>91.037419999999997</v>
      </c>
      <c r="K303" s="12">
        <v>21.4</v>
      </c>
      <c r="O303" s="12">
        <v>5</v>
      </c>
      <c r="Q303" s="12">
        <v>1410</v>
      </c>
      <c r="R303" s="12">
        <v>215</v>
      </c>
      <c r="S303" s="12">
        <v>21</v>
      </c>
      <c r="T303" s="12">
        <v>1</v>
      </c>
    </row>
    <row r="304" spans="1:20" x14ac:dyDescent="0.25">
      <c r="A304" s="12">
        <v>336</v>
      </c>
      <c r="B304" s="11">
        <v>42282</v>
      </c>
      <c r="D304" s="11">
        <v>42283</v>
      </c>
      <c r="H304" s="12">
        <v>12</v>
      </c>
      <c r="I304" s="12">
        <v>33.091000000000001</v>
      </c>
      <c r="J304" s="12">
        <v>91.037419999999997</v>
      </c>
      <c r="K304" s="12">
        <v>21.4</v>
      </c>
      <c r="O304" s="12">
        <v>5</v>
      </c>
      <c r="Q304" s="12">
        <v>1410</v>
      </c>
      <c r="R304" s="12">
        <v>165</v>
      </c>
      <c r="S304" s="12">
        <v>16</v>
      </c>
      <c r="T304" s="12">
        <v>1</v>
      </c>
    </row>
    <row r="305" spans="1:20" x14ac:dyDescent="0.25">
      <c r="A305" s="12">
        <v>336</v>
      </c>
      <c r="B305" s="11">
        <v>42282</v>
      </c>
      <c r="D305" s="11">
        <v>42283</v>
      </c>
      <c r="H305" s="12">
        <v>12</v>
      </c>
      <c r="I305" s="12">
        <v>33.091000000000001</v>
      </c>
      <c r="J305" s="12">
        <v>91.037419999999997</v>
      </c>
      <c r="K305" s="12">
        <v>21.4</v>
      </c>
      <c r="O305" s="12">
        <v>5</v>
      </c>
      <c r="Q305" s="12">
        <v>1410</v>
      </c>
      <c r="R305" s="12">
        <v>166</v>
      </c>
      <c r="S305" s="12">
        <v>16</v>
      </c>
      <c r="T305" s="12">
        <v>1</v>
      </c>
    </row>
    <row r="306" spans="1:20" x14ac:dyDescent="0.25">
      <c r="A306" s="12">
        <v>336</v>
      </c>
      <c r="B306" s="11">
        <v>42282</v>
      </c>
      <c r="D306" s="11">
        <v>42283</v>
      </c>
      <c r="H306" s="12">
        <v>12</v>
      </c>
      <c r="I306" s="12">
        <v>33.091000000000001</v>
      </c>
      <c r="J306" s="12">
        <v>91.037419999999997</v>
      </c>
      <c r="K306" s="12">
        <v>21.4</v>
      </c>
      <c r="O306" s="12">
        <v>5</v>
      </c>
      <c r="Q306" s="12">
        <v>1410</v>
      </c>
      <c r="R306" s="12">
        <v>255</v>
      </c>
      <c r="S306" s="12">
        <v>25</v>
      </c>
      <c r="T306" s="12">
        <v>1</v>
      </c>
    </row>
    <row r="307" spans="1:20" x14ac:dyDescent="0.25">
      <c r="A307" s="12">
        <v>336</v>
      </c>
      <c r="B307" s="11">
        <v>42282</v>
      </c>
      <c r="D307" s="11">
        <v>42283</v>
      </c>
      <c r="H307" s="12">
        <v>12</v>
      </c>
      <c r="I307" s="12">
        <v>33.091000000000001</v>
      </c>
      <c r="J307" s="12">
        <v>91.037419999999997</v>
      </c>
      <c r="K307" s="12">
        <v>21.4</v>
      </c>
      <c r="O307" s="12">
        <v>5</v>
      </c>
      <c r="Q307" s="12">
        <v>1410</v>
      </c>
      <c r="R307" s="12">
        <v>223</v>
      </c>
      <c r="S307" s="12">
        <v>22</v>
      </c>
      <c r="T307" s="12">
        <v>1</v>
      </c>
    </row>
    <row r="308" spans="1:20" x14ac:dyDescent="0.25">
      <c r="A308" s="12">
        <v>336</v>
      </c>
      <c r="B308" s="11">
        <v>42282</v>
      </c>
      <c r="D308" s="11">
        <v>42283</v>
      </c>
      <c r="H308" s="12">
        <v>12</v>
      </c>
      <c r="I308" s="12">
        <v>33.091000000000001</v>
      </c>
      <c r="J308" s="12">
        <v>91.037419999999997</v>
      </c>
      <c r="K308" s="12">
        <v>21.4</v>
      </c>
      <c r="O308" s="12">
        <v>5</v>
      </c>
      <c r="Q308" s="12">
        <v>1410</v>
      </c>
      <c r="R308" s="12">
        <v>225</v>
      </c>
      <c r="S308" s="12">
        <v>22</v>
      </c>
      <c r="T308" s="12">
        <v>1</v>
      </c>
    </row>
    <row r="309" spans="1:20" x14ac:dyDescent="0.25">
      <c r="A309" s="12">
        <v>336</v>
      </c>
      <c r="B309" s="11">
        <v>42282</v>
      </c>
      <c r="D309" s="11">
        <v>42283</v>
      </c>
      <c r="H309" s="12">
        <v>12</v>
      </c>
      <c r="I309" s="12">
        <v>33.091000000000001</v>
      </c>
      <c r="J309" s="12">
        <v>91.037419999999997</v>
      </c>
      <c r="K309" s="12">
        <v>21.4</v>
      </c>
      <c r="O309" s="12">
        <v>5</v>
      </c>
      <c r="Q309" s="12">
        <v>1410</v>
      </c>
      <c r="R309" s="12">
        <v>301</v>
      </c>
      <c r="S309" s="12">
        <v>30</v>
      </c>
      <c r="T309" s="12">
        <v>1</v>
      </c>
    </row>
    <row r="310" spans="1:20" x14ac:dyDescent="0.25">
      <c r="A310" s="12">
        <v>336</v>
      </c>
      <c r="B310" s="11">
        <v>42282</v>
      </c>
      <c r="D310" s="11">
        <v>42283</v>
      </c>
      <c r="H310" s="12">
        <v>12</v>
      </c>
      <c r="I310" s="12">
        <v>33.091000000000001</v>
      </c>
      <c r="J310" s="12">
        <v>91.037419999999997</v>
      </c>
      <c r="K310" s="12">
        <v>21.4</v>
      </c>
      <c r="O310" s="12">
        <v>5</v>
      </c>
      <c r="Q310" s="12">
        <v>1410</v>
      </c>
      <c r="R310" s="12">
        <v>235</v>
      </c>
      <c r="S310" s="12">
        <v>23</v>
      </c>
      <c r="T310" s="12">
        <v>1</v>
      </c>
    </row>
    <row r="311" spans="1:20" x14ac:dyDescent="0.25">
      <c r="A311" s="12">
        <v>336</v>
      </c>
      <c r="B311" s="11">
        <v>42282</v>
      </c>
      <c r="D311" s="11">
        <v>42283</v>
      </c>
      <c r="H311" s="12">
        <v>12</v>
      </c>
      <c r="I311" s="12">
        <v>33.091000000000001</v>
      </c>
      <c r="J311" s="12">
        <v>91.037419999999997</v>
      </c>
      <c r="K311" s="12">
        <v>21.4</v>
      </c>
      <c r="O311" s="12">
        <v>5</v>
      </c>
      <c r="Q311" s="12">
        <v>1410</v>
      </c>
      <c r="R311" s="12">
        <v>315</v>
      </c>
      <c r="S311" s="12">
        <v>31</v>
      </c>
      <c r="T311" s="12">
        <v>1</v>
      </c>
    </row>
    <row r="312" spans="1:20" x14ac:dyDescent="0.25">
      <c r="A312" s="12">
        <v>336</v>
      </c>
      <c r="B312" s="11">
        <v>42282</v>
      </c>
      <c r="D312" s="11">
        <v>42283</v>
      </c>
      <c r="H312" s="12">
        <v>12</v>
      </c>
      <c r="I312" s="12">
        <v>33.091000000000001</v>
      </c>
      <c r="J312" s="12">
        <v>91.037419999999997</v>
      </c>
      <c r="K312" s="12">
        <v>21.4</v>
      </c>
      <c r="O312" s="12">
        <v>5</v>
      </c>
      <c r="Q312" s="12">
        <v>1410</v>
      </c>
      <c r="R312" s="12">
        <v>303</v>
      </c>
      <c r="S312" s="12">
        <v>30</v>
      </c>
      <c r="T312" s="12">
        <v>1</v>
      </c>
    </row>
    <row r="313" spans="1:20" x14ac:dyDescent="0.25">
      <c r="A313" s="12">
        <v>336</v>
      </c>
      <c r="B313" s="11">
        <v>42282</v>
      </c>
      <c r="D313" s="11">
        <v>42283</v>
      </c>
      <c r="H313" s="12">
        <v>12</v>
      </c>
      <c r="I313" s="12">
        <v>33.091000000000001</v>
      </c>
      <c r="J313" s="12">
        <v>91.037419999999997</v>
      </c>
      <c r="K313" s="12">
        <v>21.4</v>
      </c>
      <c r="O313" s="12">
        <v>5</v>
      </c>
      <c r="Q313" s="12">
        <v>1410</v>
      </c>
      <c r="R313" s="12">
        <v>241</v>
      </c>
      <c r="S313" s="12">
        <v>24</v>
      </c>
      <c r="T313" s="12">
        <v>1</v>
      </c>
    </row>
    <row r="314" spans="1:20" x14ac:dyDescent="0.25">
      <c r="A314" s="12">
        <v>336</v>
      </c>
      <c r="B314" s="11">
        <v>42282</v>
      </c>
      <c r="D314" s="11">
        <v>42283</v>
      </c>
      <c r="H314" s="12">
        <v>12</v>
      </c>
      <c r="I314" s="12">
        <v>33.091000000000001</v>
      </c>
      <c r="J314" s="12">
        <v>91.037419999999997</v>
      </c>
      <c r="K314" s="12">
        <v>21.4</v>
      </c>
      <c r="O314" s="12">
        <v>5</v>
      </c>
      <c r="Q314" s="12">
        <v>1410</v>
      </c>
      <c r="R314" s="12">
        <v>261</v>
      </c>
      <c r="S314" s="12">
        <v>26</v>
      </c>
      <c r="T314" s="12">
        <v>1</v>
      </c>
    </row>
    <row r="315" spans="1:20" x14ac:dyDescent="0.25">
      <c r="A315" s="12">
        <v>336</v>
      </c>
      <c r="B315" s="11">
        <v>42282</v>
      </c>
      <c r="D315" s="11">
        <v>42283</v>
      </c>
      <c r="H315" s="12">
        <v>12</v>
      </c>
      <c r="I315" s="12">
        <v>33.091000000000001</v>
      </c>
      <c r="J315" s="12">
        <v>91.037419999999997</v>
      </c>
      <c r="K315" s="12">
        <v>21.4</v>
      </c>
      <c r="O315" s="12">
        <v>5</v>
      </c>
      <c r="Q315" s="12">
        <v>1410</v>
      </c>
      <c r="R315" s="12">
        <v>269</v>
      </c>
      <c r="S315" s="12">
        <v>26</v>
      </c>
      <c r="T315" s="12">
        <v>1</v>
      </c>
    </row>
    <row r="316" spans="1:20" x14ac:dyDescent="0.25">
      <c r="A316" s="12">
        <v>336</v>
      </c>
      <c r="B316" s="11">
        <v>42282</v>
      </c>
      <c r="D316" s="11">
        <v>42283</v>
      </c>
      <c r="H316" s="12">
        <v>12</v>
      </c>
      <c r="I316" s="12">
        <v>33.091000000000001</v>
      </c>
      <c r="J316" s="12">
        <v>91.037419999999997</v>
      </c>
      <c r="K316" s="12">
        <v>21.4</v>
      </c>
      <c r="O316" s="12">
        <v>5</v>
      </c>
      <c r="Q316" s="12">
        <v>1410</v>
      </c>
      <c r="R316" s="12">
        <v>241</v>
      </c>
      <c r="S316" s="12">
        <v>24</v>
      </c>
      <c r="T316" s="12">
        <v>1</v>
      </c>
    </row>
    <row r="317" spans="1:20" x14ac:dyDescent="0.25">
      <c r="A317" s="12">
        <v>336</v>
      </c>
      <c r="B317" s="11">
        <v>42282</v>
      </c>
      <c r="D317" s="11">
        <v>42283</v>
      </c>
      <c r="H317" s="12">
        <v>12</v>
      </c>
      <c r="I317" s="12">
        <v>33.091000000000001</v>
      </c>
      <c r="J317" s="12">
        <v>91.037419999999997</v>
      </c>
      <c r="K317" s="12">
        <v>21.4</v>
      </c>
      <c r="O317" s="12">
        <v>5</v>
      </c>
      <c r="Q317" s="12">
        <v>1410</v>
      </c>
      <c r="R317" s="12">
        <v>277</v>
      </c>
      <c r="S317" s="12">
        <v>27</v>
      </c>
      <c r="T317" s="12">
        <v>1</v>
      </c>
    </row>
    <row r="318" spans="1:20" x14ac:dyDescent="0.25">
      <c r="A318" s="12">
        <v>336</v>
      </c>
      <c r="B318" s="11">
        <v>42282</v>
      </c>
      <c r="D318" s="11">
        <v>42283</v>
      </c>
      <c r="H318" s="12">
        <v>12</v>
      </c>
      <c r="I318" s="12">
        <v>33.091000000000001</v>
      </c>
      <c r="J318" s="12">
        <v>91.037419999999997</v>
      </c>
      <c r="K318" s="12">
        <v>21.4</v>
      </c>
      <c r="O318" s="12">
        <v>5</v>
      </c>
      <c r="Q318" s="12">
        <v>1410</v>
      </c>
      <c r="R318" s="12">
        <v>267</v>
      </c>
      <c r="S318" s="12">
        <v>26</v>
      </c>
      <c r="T318" s="12">
        <v>1</v>
      </c>
    </row>
    <row r="319" spans="1:20" x14ac:dyDescent="0.25">
      <c r="A319" s="12">
        <v>336</v>
      </c>
      <c r="B319" s="11">
        <v>42282</v>
      </c>
      <c r="D319" s="11">
        <v>42283</v>
      </c>
      <c r="H319" s="12">
        <v>12</v>
      </c>
      <c r="I319" s="12">
        <v>33.091000000000001</v>
      </c>
      <c r="J319" s="12">
        <v>91.037419999999997</v>
      </c>
      <c r="K319" s="12">
        <v>21.4</v>
      </c>
      <c r="O319" s="12">
        <v>5</v>
      </c>
      <c r="Q319" s="12">
        <v>1410</v>
      </c>
      <c r="R319" s="12">
        <v>274</v>
      </c>
      <c r="S319" s="12">
        <v>27</v>
      </c>
      <c r="T319" s="12">
        <v>1</v>
      </c>
    </row>
    <row r="320" spans="1:20" x14ac:dyDescent="0.25">
      <c r="A320" s="12">
        <v>336</v>
      </c>
      <c r="B320" s="11">
        <v>42282</v>
      </c>
      <c r="D320" s="11">
        <v>42283</v>
      </c>
      <c r="H320" s="12">
        <v>12</v>
      </c>
      <c r="I320" s="12">
        <v>33.091000000000001</v>
      </c>
      <c r="J320" s="12">
        <v>91.037419999999997</v>
      </c>
      <c r="K320" s="12">
        <v>21.4</v>
      </c>
      <c r="O320" s="12">
        <v>5</v>
      </c>
      <c r="Q320" s="12">
        <v>1410</v>
      </c>
      <c r="R320" s="12">
        <v>242</v>
      </c>
      <c r="S320" s="12">
        <v>24</v>
      </c>
      <c r="T320" s="12">
        <v>1</v>
      </c>
    </row>
    <row r="321" spans="1:20" x14ac:dyDescent="0.25">
      <c r="A321" s="12">
        <v>336</v>
      </c>
      <c r="B321" s="11">
        <v>42282</v>
      </c>
      <c r="D321" s="11">
        <v>42283</v>
      </c>
      <c r="H321" s="12">
        <v>12</v>
      </c>
      <c r="I321" s="12">
        <v>33.091000000000001</v>
      </c>
      <c r="J321" s="12">
        <v>91.037419999999997</v>
      </c>
      <c r="K321" s="12">
        <v>21.4</v>
      </c>
      <c r="O321" s="12">
        <v>5</v>
      </c>
      <c r="Q321" s="12">
        <v>1410</v>
      </c>
      <c r="R321" s="12">
        <v>190</v>
      </c>
      <c r="S321" s="12">
        <v>19</v>
      </c>
      <c r="T321" s="12">
        <v>1</v>
      </c>
    </row>
    <row r="322" spans="1:20" x14ac:dyDescent="0.25">
      <c r="A322" s="12">
        <v>336</v>
      </c>
      <c r="B322" s="11">
        <v>42282</v>
      </c>
      <c r="D322" s="11">
        <v>42283</v>
      </c>
      <c r="H322" s="12">
        <v>12</v>
      </c>
      <c r="I322" s="12">
        <v>33.091000000000001</v>
      </c>
      <c r="J322" s="12">
        <v>91.037419999999997</v>
      </c>
      <c r="K322" s="12">
        <v>21.4</v>
      </c>
      <c r="O322" s="12">
        <v>5</v>
      </c>
      <c r="Q322" s="12">
        <v>1410</v>
      </c>
      <c r="R322" s="12">
        <v>195</v>
      </c>
      <c r="S322" s="12">
        <v>19</v>
      </c>
      <c r="T322" s="12">
        <v>1</v>
      </c>
    </row>
    <row r="323" spans="1:20" x14ac:dyDescent="0.25">
      <c r="A323" s="12">
        <v>336</v>
      </c>
      <c r="B323" s="11">
        <v>42282</v>
      </c>
      <c r="D323" s="11">
        <v>42283</v>
      </c>
      <c r="H323" s="12">
        <v>12</v>
      </c>
      <c r="I323" s="12">
        <v>33.091000000000001</v>
      </c>
      <c r="J323" s="12">
        <v>91.037419999999997</v>
      </c>
      <c r="K323" s="12">
        <v>21.4</v>
      </c>
      <c r="O323" s="12">
        <v>5</v>
      </c>
      <c r="Q323" s="12">
        <v>1410</v>
      </c>
      <c r="R323" s="12">
        <v>248</v>
      </c>
      <c r="S323" s="12">
        <v>24</v>
      </c>
      <c r="T323" s="12">
        <v>1</v>
      </c>
    </row>
    <row r="324" spans="1:20" x14ac:dyDescent="0.25">
      <c r="A324" s="12">
        <v>336</v>
      </c>
      <c r="B324" s="11">
        <v>42282</v>
      </c>
      <c r="D324" s="11">
        <v>42283</v>
      </c>
      <c r="H324" s="12">
        <v>12</v>
      </c>
      <c r="I324" s="12">
        <v>33.091000000000001</v>
      </c>
      <c r="J324" s="12">
        <v>91.037419999999997</v>
      </c>
      <c r="K324" s="12">
        <v>21.4</v>
      </c>
      <c r="O324" s="12">
        <v>5</v>
      </c>
      <c r="Q324" s="12">
        <v>1410</v>
      </c>
      <c r="R324" s="12">
        <v>233</v>
      </c>
      <c r="S324" s="12">
        <v>23</v>
      </c>
      <c r="T324" s="12">
        <v>1</v>
      </c>
    </row>
    <row r="325" spans="1:20" x14ac:dyDescent="0.25">
      <c r="A325" s="12">
        <v>336</v>
      </c>
      <c r="B325" s="11">
        <v>42282</v>
      </c>
      <c r="D325" s="11">
        <v>42283</v>
      </c>
      <c r="H325" s="12">
        <v>12</v>
      </c>
      <c r="I325" s="12">
        <v>33.091000000000001</v>
      </c>
      <c r="J325" s="12">
        <v>91.037419999999997</v>
      </c>
      <c r="K325" s="12">
        <v>21.4</v>
      </c>
      <c r="O325" s="12">
        <v>5</v>
      </c>
      <c r="Q325" s="12">
        <v>1410</v>
      </c>
      <c r="R325" s="12">
        <v>255</v>
      </c>
      <c r="S325" s="12">
        <v>25</v>
      </c>
      <c r="T325" s="12">
        <v>1</v>
      </c>
    </row>
    <row r="326" spans="1:20" x14ac:dyDescent="0.25">
      <c r="A326" s="12">
        <v>336</v>
      </c>
      <c r="B326" s="11">
        <v>42282</v>
      </c>
      <c r="D326" s="11">
        <v>42283</v>
      </c>
      <c r="H326" s="12">
        <v>12</v>
      </c>
      <c r="I326" s="12">
        <v>33.091000000000001</v>
      </c>
      <c r="J326" s="12">
        <v>91.037419999999997</v>
      </c>
      <c r="K326" s="12">
        <v>21.4</v>
      </c>
      <c r="O326" s="12">
        <v>5</v>
      </c>
      <c r="Q326" s="12">
        <v>1410</v>
      </c>
      <c r="R326" s="12">
        <v>254</v>
      </c>
      <c r="S326" s="12">
        <v>25</v>
      </c>
      <c r="T326" s="12">
        <v>1</v>
      </c>
    </row>
    <row r="327" spans="1:20" x14ac:dyDescent="0.25">
      <c r="A327" s="12">
        <v>336</v>
      </c>
      <c r="B327" s="11">
        <v>42282</v>
      </c>
      <c r="D327" s="11">
        <v>42283</v>
      </c>
      <c r="H327" s="12">
        <v>12</v>
      </c>
      <c r="I327" s="12">
        <v>33.091000000000001</v>
      </c>
      <c r="J327" s="12">
        <v>91.037419999999997</v>
      </c>
      <c r="K327" s="12">
        <v>21.4</v>
      </c>
      <c r="O327" s="12">
        <v>5</v>
      </c>
      <c r="Q327" s="12">
        <v>1410</v>
      </c>
      <c r="R327" s="12">
        <v>176</v>
      </c>
      <c r="S327" s="12">
        <v>17</v>
      </c>
      <c r="T327" s="12">
        <v>1</v>
      </c>
    </row>
    <row r="328" spans="1:20" x14ac:dyDescent="0.25">
      <c r="A328" s="12">
        <v>336</v>
      </c>
      <c r="B328" s="11">
        <v>42282</v>
      </c>
      <c r="D328" s="11">
        <v>42283</v>
      </c>
      <c r="H328" s="12">
        <v>12</v>
      </c>
      <c r="I328" s="12">
        <v>33.091000000000001</v>
      </c>
      <c r="J328" s="12">
        <v>91.037419999999997</v>
      </c>
      <c r="K328" s="12">
        <v>21.4</v>
      </c>
      <c r="O328" s="12">
        <v>5</v>
      </c>
      <c r="Q328" s="12">
        <v>1410</v>
      </c>
      <c r="R328" s="12">
        <v>152</v>
      </c>
      <c r="S328" s="12">
        <v>15</v>
      </c>
      <c r="T328" s="12">
        <v>1</v>
      </c>
    </row>
    <row r="329" spans="1:20" x14ac:dyDescent="0.25">
      <c r="A329" s="12">
        <v>336</v>
      </c>
      <c r="B329" s="11">
        <v>42282</v>
      </c>
      <c r="D329" s="11">
        <v>42283</v>
      </c>
      <c r="H329" s="12">
        <v>12</v>
      </c>
      <c r="I329" s="12">
        <v>33.091000000000001</v>
      </c>
      <c r="J329" s="12">
        <v>91.037419999999997</v>
      </c>
      <c r="K329" s="12">
        <v>21.4</v>
      </c>
      <c r="O329" s="12">
        <v>5</v>
      </c>
      <c r="Q329" s="12">
        <v>1410</v>
      </c>
      <c r="R329" s="12">
        <v>250</v>
      </c>
      <c r="S329" s="12">
        <v>25</v>
      </c>
      <c r="T329" s="12">
        <v>1</v>
      </c>
    </row>
    <row r="330" spans="1:20" x14ac:dyDescent="0.25">
      <c r="A330" s="12">
        <v>336</v>
      </c>
      <c r="B330" s="11">
        <v>42282</v>
      </c>
      <c r="D330" s="11">
        <v>42283</v>
      </c>
      <c r="H330" s="12">
        <v>12</v>
      </c>
      <c r="I330" s="12">
        <v>33.091000000000001</v>
      </c>
      <c r="J330" s="12">
        <v>91.037419999999997</v>
      </c>
      <c r="K330" s="12">
        <v>21.4</v>
      </c>
      <c r="O330" s="12">
        <v>5</v>
      </c>
      <c r="Q330" s="12">
        <v>1410</v>
      </c>
      <c r="R330" s="12">
        <v>197</v>
      </c>
      <c r="S330" s="12">
        <v>19</v>
      </c>
      <c r="T330" s="12">
        <v>1</v>
      </c>
    </row>
    <row r="331" spans="1:20" x14ac:dyDescent="0.25">
      <c r="A331" s="12">
        <v>336</v>
      </c>
      <c r="B331" s="11">
        <v>42282</v>
      </c>
      <c r="D331" s="11">
        <v>42283</v>
      </c>
      <c r="H331" s="12">
        <v>12</v>
      </c>
      <c r="I331" s="12">
        <v>33.091000000000001</v>
      </c>
      <c r="J331" s="12">
        <v>91.037419999999997</v>
      </c>
      <c r="K331" s="12">
        <v>21.4</v>
      </c>
      <c r="O331" s="12">
        <v>5</v>
      </c>
      <c r="Q331" s="12">
        <v>1410</v>
      </c>
      <c r="R331" s="12">
        <v>236</v>
      </c>
      <c r="S331" s="12">
        <v>23</v>
      </c>
      <c r="T331" s="12">
        <v>1</v>
      </c>
    </row>
    <row r="332" spans="1:20" x14ac:dyDescent="0.25">
      <c r="A332" s="12">
        <v>336</v>
      </c>
      <c r="B332" s="11">
        <v>42282</v>
      </c>
      <c r="D332" s="11">
        <v>42283</v>
      </c>
      <c r="H332" s="12">
        <v>12</v>
      </c>
      <c r="I332" s="12">
        <v>33.091000000000001</v>
      </c>
      <c r="J332" s="12">
        <v>91.037419999999997</v>
      </c>
      <c r="K332" s="12">
        <v>21.4</v>
      </c>
      <c r="O332" s="12">
        <v>5</v>
      </c>
      <c r="Q332" s="12">
        <v>1410</v>
      </c>
      <c r="R332" s="12">
        <v>282</v>
      </c>
      <c r="S332" s="12">
        <v>28</v>
      </c>
      <c r="T332" s="12">
        <v>1</v>
      </c>
    </row>
    <row r="333" spans="1:20" x14ac:dyDescent="0.25">
      <c r="A333" s="12">
        <v>336</v>
      </c>
      <c r="B333" s="11">
        <v>42282</v>
      </c>
      <c r="D333" s="11">
        <v>42283</v>
      </c>
      <c r="H333" s="12">
        <v>12</v>
      </c>
      <c r="I333" s="12">
        <v>33.091000000000001</v>
      </c>
      <c r="J333" s="12">
        <v>91.037419999999997</v>
      </c>
      <c r="K333" s="12">
        <v>21.4</v>
      </c>
      <c r="O333" s="12">
        <v>5</v>
      </c>
      <c r="Q333" s="12">
        <v>1410</v>
      </c>
      <c r="R333" s="12">
        <v>247</v>
      </c>
      <c r="S333" s="12">
        <v>24</v>
      </c>
      <c r="T333" s="12">
        <v>1</v>
      </c>
    </row>
    <row r="334" spans="1:20" x14ac:dyDescent="0.25">
      <c r="A334" s="12">
        <v>336</v>
      </c>
      <c r="B334" s="11">
        <v>42282</v>
      </c>
      <c r="D334" s="11">
        <v>42283</v>
      </c>
      <c r="H334" s="12">
        <v>12</v>
      </c>
      <c r="I334" s="12">
        <v>33.091000000000001</v>
      </c>
      <c r="J334" s="12">
        <v>91.037419999999997</v>
      </c>
      <c r="K334" s="12">
        <v>21.4</v>
      </c>
      <c r="O334" s="12">
        <v>5</v>
      </c>
      <c r="Q334" s="12">
        <v>1410</v>
      </c>
      <c r="R334" s="12">
        <v>183</v>
      </c>
      <c r="S334" s="12">
        <v>18</v>
      </c>
      <c r="T334" s="12">
        <v>1</v>
      </c>
    </row>
    <row r="335" spans="1:20" x14ac:dyDescent="0.25">
      <c r="A335" s="12">
        <v>336</v>
      </c>
      <c r="B335" s="11">
        <v>42282</v>
      </c>
      <c r="D335" s="11">
        <v>42283</v>
      </c>
      <c r="H335" s="12">
        <v>12</v>
      </c>
      <c r="I335" s="12">
        <v>33.091000000000001</v>
      </c>
      <c r="J335" s="12">
        <v>91.037419999999997</v>
      </c>
      <c r="K335" s="12">
        <v>21.4</v>
      </c>
      <c r="O335" s="12">
        <v>5</v>
      </c>
      <c r="Q335" s="12">
        <v>1410</v>
      </c>
      <c r="R335" s="12">
        <v>258</v>
      </c>
      <c r="S335" s="12">
        <v>25</v>
      </c>
      <c r="T335" s="12">
        <v>1</v>
      </c>
    </row>
    <row r="336" spans="1:20" x14ac:dyDescent="0.25">
      <c r="A336" s="12">
        <v>336</v>
      </c>
      <c r="B336" s="11">
        <v>42282</v>
      </c>
      <c r="D336" s="11">
        <v>42283</v>
      </c>
      <c r="H336" s="12">
        <v>12</v>
      </c>
      <c r="I336" s="12">
        <v>33.091000000000001</v>
      </c>
      <c r="J336" s="12">
        <v>91.037419999999997</v>
      </c>
      <c r="K336" s="12">
        <v>21.4</v>
      </c>
      <c r="O336" s="12">
        <v>5</v>
      </c>
      <c r="Q336" s="12">
        <v>1410</v>
      </c>
      <c r="R336" s="12">
        <v>220</v>
      </c>
      <c r="S336" s="12">
        <v>22</v>
      </c>
      <c r="T336" s="12">
        <v>1</v>
      </c>
    </row>
    <row r="337" spans="1:20" x14ac:dyDescent="0.25">
      <c r="A337" s="12">
        <v>336</v>
      </c>
      <c r="B337" s="11">
        <v>42282</v>
      </c>
      <c r="D337" s="11">
        <v>42283</v>
      </c>
      <c r="H337" s="12">
        <v>12</v>
      </c>
      <c r="I337" s="12">
        <v>33.091000000000001</v>
      </c>
      <c r="J337" s="12">
        <v>91.037419999999997</v>
      </c>
      <c r="K337" s="12">
        <v>21.4</v>
      </c>
      <c r="O337" s="12">
        <v>5</v>
      </c>
      <c r="Q337" s="12">
        <v>1410</v>
      </c>
      <c r="R337" s="12">
        <v>195</v>
      </c>
      <c r="S337" s="12">
        <v>19</v>
      </c>
      <c r="T337" s="12">
        <v>1</v>
      </c>
    </row>
    <row r="338" spans="1:20" x14ac:dyDescent="0.25">
      <c r="A338" s="12">
        <v>336</v>
      </c>
      <c r="B338" s="11">
        <v>42282</v>
      </c>
      <c r="D338" s="11">
        <v>42283</v>
      </c>
      <c r="H338" s="12">
        <v>12</v>
      </c>
      <c r="I338" s="12">
        <v>33.091000000000001</v>
      </c>
      <c r="J338" s="12">
        <v>91.037419999999997</v>
      </c>
      <c r="K338" s="12">
        <v>21.4</v>
      </c>
      <c r="O338" s="12">
        <v>5</v>
      </c>
      <c r="Q338" s="12">
        <v>1410</v>
      </c>
      <c r="R338" s="12">
        <v>251</v>
      </c>
      <c r="S338" s="12">
        <v>25</v>
      </c>
      <c r="T338" s="12">
        <v>1</v>
      </c>
    </row>
    <row r="339" spans="1:20" x14ac:dyDescent="0.25">
      <c r="A339" s="12">
        <v>336</v>
      </c>
      <c r="B339" s="11">
        <v>42282</v>
      </c>
      <c r="D339" s="11">
        <v>42283</v>
      </c>
      <c r="H339" s="12">
        <v>12</v>
      </c>
      <c r="I339" s="12">
        <v>33.091000000000001</v>
      </c>
      <c r="J339" s="12">
        <v>91.037419999999997</v>
      </c>
      <c r="K339" s="12">
        <v>21.4</v>
      </c>
      <c r="O339" s="12">
        <v>5</v>
      </c>
      <c r="Q339" s="12">
        <v>1410</v>
      </c>
      <c r="R339" s="12">
        <v>262</v>
      </c>
      <c r="S339" s="12">
        <v>26</v>
      </c>
      <c r="T339" s="12">
        <v>1</v>
      </c>
    </row>
    <row r="340" spans="1:20" x14ac:dyDescent="0.25">
      <c r="A340" s="12">
        <v>336</v>
      </c>
      <c r="B340" s="11">
        <v>42282</v>
      </c>
      <c r="D340" s="11">
        <v>42283</v>
      </c>
      <c r="H340" s="12">
        <v>12</v>
      </c>
      <c r="I340" s="12">
        <v>33.091000000000001</v>
      </c>
      <c r="J340" s="12">
        <v>91.037419999999997</v>
      </c>
      <c r="K340" s="12">
        <v>21.4</v>
      </c>
      <c r="O340" s="12">
        <v>5</v>
      </c>
      <c r="Q340" s="12">
        <v>1410</v>
      </c>
      <c r="R340" s="12">
        <v>273</v>
      </c>
      <c r="S340" s="12">
        <v>27</v>
      </c>
      <c r="T340" s="12">
        <v>1</v>
      </c>
    </row>
    <row r="341" spans="1:20" x14ac:dyDescent="0.25">
      <c r="A341" s="12">
        <v>336</v>
      </c>
      <c r="B341" s="11">
        <v>42282</v>
      </c>
      <c r="D341" s="11">
        <v>42283</v>
      </c>
      <c r="H341" s="12">
        <v>12</v>
      </c>
      <c r="I341" s="12">
        <v>33.091000000000001</v>
      </c>
      <c r="J341" s="12">
        <v>91.037419999999997</v>
      </c>
      <c r="K341" s="12">
        <v>21.4</v>
      </c>
      <c r="O341" s="12">
        <v>5</v>
      </c>
      <c r="Q341" s="12">
        <v>1410</v>
      </c>
      <c r="R341" s="12">
        <v>178</v>
      </c>
      <c r="S341" s="12">
        <v>17</v>
      </c>
      <c r="T341" s="12">
        <v>1</v>
      </c>
    </row>
    <row r="342" spans="1:20" x14ac:dyDescent="0.25">
      <c r="A342" s="12">
        <v>336</v>
      </c>
      <c r="B342" s="11">
        <v>42282</v>
      </c>
      <c r="D342" s="11">
        <v>42283</v>
      </c>
      <c r="H342" s="12">
        <v>12</v>
      </c>
      <c r="I342" s="12">
        <v>33.091000000000001</v>
      </c>
      <c r="J342" s="12">
        <v>91.037419999999997</v>
      </c>
      <c r="K342" s="12">
        <v>21.4</v>
      </c>
      <c r="O342" s="12">
        <v>5</v>
      </c>
      <c r="Q342" s="12">
        <v>1409</v>
      </c>
      <c r="R342" s="12">
        <v>155</v>
      </c>
      <c r="S342" s="12">
        <v>15</v>
      </c>
      <c r="T342" s="12">
        <v>1</v>
      </c>
    </row>
    <row r="343" spans="1:20" x14ac:dyDescent="0.25">
      <c r="A343" s="12">
        <v>336</v>
      </c>
      <c r="B343" s="11">
        <v>42282</v>
      </c>
      <c r="D343" s="11">
        <v>42283</v>
      </c>
      <c r="H343" s="12">
        <v>12</v>
      </c>
      <c r="I343" s="12">
        <v>33.091000000000001</v>
      </c>
      <c r="J343" s="12">
        <v>91.037419999999997</v>
      </c>
      <c r="K343" s="12">
        <v>21.4</v>
      </c>
      <c r="O343" s="12">
        <v>5</v>
      </c>
      <c r="Q343" s="12">
        <v>1409</v>
      </c>
      <c r="R343" s="12">
        <v>228</v>
      </c>
      <c r="S343" s="12">
        <v>22</v>
      </c>
      <c r="T343" s="12">
        <v>1</v>
      </c>
    </row>
    <row r="344" spans="1:20" x14ac:dyDescent="0.25">
      <c r="A344" s="12">
        <v>336</v>
      </c>
      <c r="B344" s="11">
        <v>42282</v>
      </c>
      <c r="D344" s="11">
        <v>42283</v>
      </c>
      <c r="H344" s="12">
        <v>12</v>
      </c>
      <c r="I344" s="12">
        <v>33.091000000000001</v>
      </c>
      <c r="J344" s="12">
        <v>91.037419999999997</v>
      </c>
      <c r="K344" s="12">
        <v>21.4</v>
      </c>
      <c r="O344" s="12">
        <v>5</v>
      </c>
      <c r="Q344" s="12">
        <v>1409</v>
      </c>
      <c r="R344" s="12">
        <v>177</v>
      </c>
      <c r="S344" s="12">
        <v>17</v>
      </c>
      <c r="T344" s="12">
        <v>1</v>
      </c>
    </row>
    <row r="345" spans="1:20" x14ac:dyDescent="0.25">
      <c r="A345" s="12">
        <v>336</v>
      </c>
      <c r="B345" s="11">
        <v>42282</v>
      </c>
      <c r="D345" s="11">
        <v>42283</v>
      </c>
      <c r="H345" s="12">
        <v>12</v>
      </c>
      <c r="I345" s="12">
        <v>33.091000000000001</v>
      </c>
      <c r="J345" s="12">
        <v>91.037419999999997</v>
      </c>
      <c r="K345" s="12">
        <v>21.4</v>
      </c>
      <c r="O345" s="12">
        <v>5</v>
      </c>
      <c r="Q345" s="12">
        <v>1409</v>
      </c>
      <c r="R345" s="12">
        <v>180</v>
      </c>
      <c r="S345" s="12">
        <v>18</v>
      </c>
      <c r="T345" s="12">
        <v>1</v>
      </c>
    </row>
    <row r="346" spans="1:20" x14ac:dyDescent="0.25">
      <c r="A346" s="12">
        <v>336</v>
      </c>
      <c r="B346" s="11">
        <v>42282</v>
      </c>
      <c r="D346" s="11">
        <v>42283</v>
      </c>
      <c r="H346" s="12">
        <v>12</v>
      </c>
      <c r="I346" s="12">
        <v>33.091000000000001</v>
      </c>
      <c r="J346" s="12">
        <v>91.037419999999997</v>
      </c>
      <c r="K346" s="12">
        <v>21.4</v>
      </c>
      <c r="O346" s="12">
        <v>5</v>
      </c>
      <c r="Q346" s="12">
        <v>1758</v>
      </c>
      <c r="R346" s="12">
        <v>252</v>
      </c>
      <c r="S346" s="12">
        <v>25</v>
      </c>
      <c r="T346" s="12">
        <v>1</v>
      </c>
    </row>
    <row r="347" spans="1:20" x14ac:dyDescent="0.25">
      <c r="A347" s="12">
        <v>336</v>
      </c>
      <c r="B347" s="11">
        <v>42282</v>
      </c>
      <c r="D347" s="11">
        <v>42283</v>
      </c>
      <c r="H347" s="12">
        <v>12</v>
      </c>
      <c r="I347" s="12">
        <v>33.091000000000001</v>
      </c>
      <c r="J347" s="12">
        <v>91.037419999999997</v>
      </c>
      <c r="K347" s="12">
        <v>21.4</v>
      </c>
      <c r="O347" s="12">
        <v>5</v>
      </c>
      <c r="Q347" s="12">
        <v>1758</v>
      </c>
      <c r="R347" s="12">
        <v>306</v>
      </c>
      <c r="S347" s="12">
        <v>30</v>
      </c>
      <c r="T347" s="12">
        <v>1</v>
      </c>
    </row>
    <row r="348" spans="1:20" x14ac:dyDescent="0.25">
      <c r="A348" s="12">
        <v>336</v>
      </c>
      <c r="B348" s="11">
        <v>42282</v>
      </c>
      <c r="D348" s="11">
        <v>42283</v>
      </c>
      <c r="H348" s="12">
        <v>12</v>
      </c>
      <c r="I348" s="12">
        <v>33.091000000000001</v>
      </c>
      <c r="J348" s="12">
        <v>91.037419999999997</v>
      </c>
      <c r="K348" s="12">
        <v>21.4</v>
      </c>
      <c r="O348" s="12">
        <v>5</v>
      </c>
      <c r="Q348" s="12">
        <v>910</v>
      </c>
      <c r="R348" s="12">
        <v>430</v>
      </c>
      <c r="S348" s="12">
        <v>43</v>
      </c>
      <c r="T348" s="12">
        <v>1</v>
      </c>
    </row>
    <row r="349" spans="1:20" x14ac:dyDescent="0.25">
      <c r="A349" s="12">
        <v>336</v>
      </c>
      <c r="B349" s="11">
        <v>42283</v>
      </c>
      <c r="D349" s="11">
        <v>42284</v>
      </c>
      <c r="H349" s="12">
        <v>13</v>
      </c>
      <c r="I349" s="12">
        <v>33.03548</v>
      </c>
      <c r="J349" s="12">
        <v>91.041560000000004</v>
      </c>
      <c r="K349" s="12">
        <v>22.2</v>
      </c>
      <c r="O349" s="12">
        <v>3</v>
      </c>
      <c r="Q349" s="12">
        <v>216</v>
      </c>
      <c r="R349" s="12">
        <v>681</v>
      </c>
      <c r="S349" s="12">
        <v>68</v>
      </c>
      <c r="T349" s="12">
        <v>1</v>
      </c>
    </row>
    <row r="350" spans="1:20" x14ac:dyDescent="0.25">
      <c r="A350" s="12">
        <v>336</v>
      </c>
      <c r="B350" s="11">
        <v>42283</v>
      </c>
      <c r="D350" s="11">
        <v>42284</v>
      </c>
      <c r="H350" s="12">
        <v>13</v>
      </c>
      <c r="I350" s="12">
        <v>33.03548</v>
      </c>
      <c r="J350" s="12">
        <v>91.041560000000004</v>
      </c>
      <c r="K350" s="12">
        <v>22.2</v>
      </c>
      <c r="O350" s="12">
        <v>3</v>
      </c>
      <c r="Q350" s="12">
        <v>1758</v>
      </c>
      <c r="R350" s="12">
        <v>287</v>
      </c>
      <c r="S350" s="12">
        <v>28</v>
      </c>
      <c r="T350" s="12">
        <v>1</v>
      </c>
    </row>
    <row r="351" spans="1:20" x14ac:dyDescent="0.25">
      <c r="A351" s="12">
        <v>336</v>
      </c>
      <c r="B351" s="11">
        <v>42283</v>
      </c>
      <c r="D351" s="11">
        <v>42284</v>
      </c>
      <c r="H351" s="12">
        <v>13</v>
      </c>
      <c r="I351" s="12">
        <v>33.03548</v>
      </c>
      <c r="J351" s="12">
        <v>91.041560000000004</v>
      </c>
      <c r="K351" s="12">
        <v>22.2</v>
      </c>
      <c r="O351" s="12">
        <v>3</v>
      </c>
      <c r="Q351" s="12">
        <v>910</v>
      </c>
      <c r="R351" s="12">
        <v>504</v>
      </c>
      <c r="S351" s="12">
        <v>50</v>
      </c>
      <c r="T351" s="12">
        <v>1</v>
      </c>
    </row>
    <row r="352" spans="1:20" x14ac:dyDescent="0.25">
      <c r="A352" s="12">
        <v>336</v>
      </c>
      <c r="B352" s="11">
        <v>42283</v>
      </c>
      <c r="D352" s="11">
        <v>42284</v>
      </c>
      <c r="H352" s="12">
        <v>13</v>
      </c>
      <c r="I352" s="12">
        <v>33.03548</v>
      </c>
      <c r="J352" s="12">
        <v>91.041560000000004</v>
      </c>
      <c r="K352" s="12">
        <v>22.2</v>
      </c>
      <c r="O352" s="12">
        <v>3</v>
      </c>
      <c r="Q352" s="12">
        <v>1396</v>
      </c>
      <c r="R352" s="12">
        <v>58</v>
      </c>
      <c r="S352" s="12">
        <v>5</v>
      </c>
      <c r="T352" s="12">
        <v>1</v>
      </c>
    </row>
    <row r="353" spans="1:20" x14ac:dyDescent="0.25">
      <c r="A353" s="12">
        <v>336</v>
      </c>
      <c r="B353" s="11">
        <v>42283</v>
      </c>
      <c r="D353" s="11">
        <v>42284</v>
      </c>
      <c r="H353" s="12">
        <v>13</v>
      </c>
      <c r="I353" s="12">
        <v>33.03548</v>
      </c>
      <c r="J353" s="12">
        <v>91.041560000000004</v>
      </c>
      <c r="K353" s="12">
        <v>22.2</v>
      </c>
      <c r="O353" s="12">
        <v>3</v>
      </c>
      <c r="Q353" s="12">
        <v>1396</v>
      </c>
      <c r="R353" s="12">
        <v>67</v>
      </c>
      <c r="S353" s="12">
        <v>6</v>
      </c>
      <c r="T353" s="12">
        <v>1</v>
      </c>
    </row>
    <row r="354" spans="1:20" x14ac:dyDescent="0.25">
      <c r="A354" s="12">
        <v>336</v>
      </c>
      <c r="B354" s="11">
        <v>42283</v>
      </c>
      <c r="D354" s="11">
        <v>42284</v>
      </c>
      <c r="H354" s="12">
        <v>13</v>
      </c>
      <c r="I354" s="12">
        <v>33.03548</v>
      </c>
      <c r="J354" s="12">
        <v>91.041560000000004</v>
      </c>
      <c r="K354" s="12">
        <v>22.2</v>
      </c>
      <c r="O354" s="12">
        <v>3</v>
      </c>
      <c r="Q354" s="12">
        <v>1395</v>
      </c>
      <c r="R354" s="12">
        <v>92</v>
      </c>
      <c r="S354" s="12">
        <v>9</v>
      </c>
      <c r="T354" s="12">
        <v>1</v>
      </c>
    </row>
    <row r="355" spans="1:20" x14ac:dyDescent="0.25">
      <c r="A355" s="12">
        <v>336</v>
      </c>
      <c r="B355" s="11">
        <v>42283</v>
      </c>
      <c r="D355" s="11">
        <v>42284</v>
      </c>
      <c r="H355" s="12">
        <v>13</v>
      </c>
      <c r="I355" s="12">
        <v>33.03548</v>
      </c>
      <c r="J355" s="12">
        <v>91.041560000000004</v>
      </c>
      <c r="K355" s="12">
        <v>22.2</v>
      </c>
      <c r="O355" s="12">
        <v>3</v>
      </c>
      <c r="Q355" s="12">
        <v>910</v>
      </c>
      <c r="R355" s="12">
        <v>101</v>
      </c>
      <c r="S355" s="12">
        <v>10</v>
      </c>
      <c r="T355" s="12">
        <v>1</v>
      </c>
    </row>
    <row r="356" spans="1:20" x14ac:dyDescent="0.25">
      <c r="A356" s="12">
        <v>336</v>
      </c>
      <c r="B356" s="11">
        <v>42283</v>
      </c>
      <c r="D356" s="11">
        <v>42284</v>
      </c>
      <c r="H356" s="12">
        <v>13</v>
      </c>
      <c r="I356" s="12">
        <v>33.03548</v>
      </c>
      <c r="J356" s="12">
        <v>91.041560000000004</v>
      </c>
      <c r="K356" s="12">
        <v>22.2</v>
      </c>
      <c r="O356" s="12">
        <v>3</v>
      </c>
      <c r="Q356" s="12">
        <v>1410</v>
      </c>
      <c r="R356" s="12">
        <v>255</v>
      </c>
      <c r="S356" s="12">
        <v>25</v>
      </c>
      <c r="T356" s="12">
        <v>1</v>
      </c>
    </row>
    <row r="357" spans="1:20" x14ac:dyDescent="0.25">
      <c r="A357" s="12">
        <v>336</v>
      </c>
      <c r="B357" s="11">
        <v>42283</v>
      </c>
      <c r="D357" s="11">
        <v>42284</v>
      </c>
      <c r="H357" s="12">
        <v>13</v>
      </c>
      <c r="I357" s="12">
        <v>33.03548</v>
      </c>
      <c r="J357" s="12">
        <v>91.041560000000004</v>
      </c>
      <c r="K357" s="12">
        <v>22.2</v>
      </c>
      <c r="O357" s="12">
        <v>3</v>
      </c>
      <c r="Q357" s="12">
        <v>1410</v>
      </c>
      <c r="R357" s="12">
        <v>277</v>
      </c>
      <c r="S357" s="12">
        <v>27</v>
      </c>
      <c r="T357" s="12">
        <v>1</v>
      </c>
    </row>
    <row r="358" spans="1:20" x14ac:dyDescent="0.25">
      <c r="A358" s="12">
        <v>336</v>
      </c>
      <c r="B358" s="11">
        <v>42283</v>
      </c>
      <c r="D358" s="11">
        <v>42284</v>
      </c>
      <c r="H358" s="12">
        <v>13</v>
      </c>
      <c r="I358" s="12">
        <v>33.03548</v>
      </c>
      <c r="J358" s="12">
        <v>91.041560000000004</v>
      </c>
      <c r="K358" s="12">
        <v>22.2</v>
      </c>
      <c r="O358" s="12">
        <v>3</v>
      </c>
      <c r="Q358" s="12">
        <v>1410</v>
      </c>
      <c r="R358" s="12">
        <v>230</v>
      </c>
      <c r="S358" s="12">
        <v>23</v>
      </c>
      <c r="T358" s="12">
        <v>1</v>
      </c>
    </row>
    <row r="359" spans="1:20" x14ac:dyDescent="0.25">
      <c r="A359" s="12">
        <v>336</v>
      </c>
      <c r="B359" s="11">
        <v>42283</v>
      </c>
      <c r="D359" s="11">
        <v>42284</v>
      </c>
      <c r="H359" s="12">
        <v>13</v>
      </c>
      <c r="I359" s="12">
        <v>33.03548</v>
      </c>
      <c r="J359" s="12">
        <v>91.041560000000004</v>
      </c>
      <c r="K359" s="12">
        <v>22.2</v>
      </c>
      <c r="O359" s="12">
        <v>3</v>
      </c>
      <c r="Q359" s="12">
        <v>1410</v>
      </c>
      <c r="R359" s="12">
        <v>348</v>
      </c>
      <c r="S359" s="12">
        <v>34</v>
      </c>
      <c r="T359" s="12">
        <v>1</v>
      </c>
    </row>
    <row r="360" spans="1:20" x14ac:dyDescent="0.25">
      <c r="A360" s="12">
        <v>336</v>
      </c>
      <c r="B360" s="11">
        <v>42283</v>
      </c>
      <c r="D360" s="11">
        <v>42284</v>
      </c>
      <c r="H360" s="12">
        <v>13</v>
      </c>
      <c r="I360" s="12">
        <v>33.03548</v>
      </c>
      <c r="J360" s="12">
        <v>91.041560000000004</v>
      </c>
      <c r="K360" s="12">
        <v>22.2</v>
      </c>
      <c r="O360" s="12">
        <v>3</v>
      </c>
      <c r="Q360" s="12">
        <v>1410</v>
      </c>
      <c r="R360" s="12">
        <v>250</v>
      </c>
      <c r="S360" s="12">
        <v>25</v>
      </c>
      <c r="T360" s="12">
        <v>1</v>
      </c>
    </row>
    <row r="361" spans="1:20" x14ac:dyDescent="0.25">
      <c r="A361" s="12">
        <v>336</v>
      </c>
      <c r="B361" s="11">
        <v>42283</v>
      </c>
      <c r="D361" s="11">
        <v>42284</v>
      </c>
      <c r="H361" s="12">
        <v>13</v>
      </c>
      <c r="I361" s="12">
        <v>33.03548</v>
      </c>
      <c r="J361" s="12">
        <v>91.041560000000004</v>
      </c>
      <c r="K361" s="12">
        <v>22.2</v>
      </c>
      <c r="O361" s="12">
        <v>3</v>
      </c>
      <c r="Q361" s="12">
        <v>1410</v>
      </c>
      <c r="R361" s="12">
        <v>215</v>
      </c>
      <c r="S361" s="12">
        <v>21</v>
      </c>
      <c r="T361" s="12">
        <v>1</v>
      </c>
    </row>
    <row r="362" spans="1:20" x14ac:dyDescent="0.25">
      <c r="A362" s="12">
        <v>336</v>
      </c>
      <c r="B362" s="11">
        <v>42283</v>
      </c>
      <c r="D362" s="11">
        <v>42284</v>
      </c>
      <c r="H362" s="12">
        <v>13</v>
      </c>
      <c r="I362" s="12">
        <v>33.03548</v>
      </c>
      <c r="J362" s="12">
        <v>91.041560000000004</v>
      </c>
      <c r="K362" s="12">
        <v>22.2</v>
      </c>
      <c r="O362" s="12">
        <v>3</v>
      </c>
      <c r="Q362" s="12">
        <v>1410</v>
      </c>
      <c r="R362" s="12">
        <v>163</v>
      </c>
      <c r="S362" s="12">
        <v>16</v>
      </c>
      <c r="T362" s="12">
        <v>1</v>
      </c>
    </row>
    <row r="363" spans="1:20" x14ac:dyDescent="0.25">
      <c r="A363" s="12">
        <v>336</v>
      </c>
      <c r="B363" s="11">
        <v>42283</v>
      </c>
      <c r="D363" s="11">
        <v>42284</v>
      </c>
      <c r="H363" s="12">
        <v>13</v>
      </c>
      <c r="I363" s="12">
        <v>33.03548</v>
      </c>
      <c r="J363" s="12">
        <v>91.041560000000004</v>
      </c>
      <c r="K363" s="12">
        <v>22.2</v>
      </c>
      <c r="O363" s="12">
        <v>3</v>
      </c>
      <c r="Q363" s="12">
        <v>1410</v>
      </c>
      <c r="R363" s="12">
        <v>217</v>
      </c>
      <c r="S363" s="12">
        <v>21</v>
      </c>
      <c r="T363" s="12">
        <v>1</v>
      </c>
    </row>
    <row r="364" spans="1:20" x14ac:dyDescent="0.25">
      <c r="A364" s="12">
        <v>336</v>
      </c>
      <c r="B364" s="11">
        <v>42283</v>
      </c>
      <c r="D364" s="11">
        <v>42284</v>
      </c>
      <c r="H364" s="12">
        <v>13</v>
      </c>
      <c r="I364" s="12">
        <v>33.03548</v>
      </c>
      <c r="J364" s="12">
        <v>91.041560000000004</v>
      </c>
      <c r="K364" s="12">
        <v>22.2</v>
      </c>
      <c r="O364" s="12">
        <v>3</v>
      </c>
      <c r="Q364" s="12">
        <v>1410</v>
      </c>
      <c r="R364" s="12">
        <v>214</v>
      </c>
      <c r="S364" s="12">
        <v>21</v>
      </c>
      <c r="T364" s="12">
        <v>1</v>
      </c>
    </row>
    <row r="365" spans="1:20" x14ac:dyDescent="0.25">
      <c r="A365" s="12">
        <v>336</v>
      </c>
      <c r="B365" s="11">
        <v>42283</v>
      </c>
      <c r="D365" s="11">
        <v>42284</v>
      </c>
      <c r="H365" s="12">
        <v>13</v>
      </c>
      <c r="I365" s="12">
        <v>33.03548</v>
      </c>
      <c r="J365" s="12">
        <v>91.041560000000004</v>
      </c>
      <c r="K365" s="12">
        <v>22.2</v>
      </c>
      <c r="O365" s="12">
        <v>3</v>
      </c>
      <c r="Q365" s="12">
        <v>1410</v>
      </c>
      <c r="R365" s="12">
        <v>251</v>
      </c>
      <c r="S365" s="12">
        <v>25</v>
      </c>
      <c r="T365" s="12">
        <v>1</v>
      </c>
    </row>
    <row r="366" spans="1:20" x14ac:dyDescent="0.25">
      <c r="A366" s="12">
        <v>336</v>
      </c>
      <c r="B366" s="11">
        <v>42283</v>
      </c>
      <c r="D366" s="11">
        <v>42284</v>
      </c>
      <c r="H366" s="12">
        <v>13</v>
      </c>
      <c r="I366" s="12">
        <v>33.03548</v>
      </c>
      <c r="J366" s="12">
        <v>91.041560000000004</v>
      </c>
      <c r="K366" s="12">
        <v>22.2</v>
      </c>
      <c r="O366" s="12">
        <v>3</v>
      </c>
      <c r="Q366" s="12">
        <v>1410</v>
      </c>
      <c r="R366" s="12">
        <v>111</v>
      </c>
      <c r="S366" s="12">
        <v>11</v>
      </c>
      <c r="T366" s="12">
        <v>1</v>
      </c>
    </row>
    <row r="367" spans="1:20" x14ac:dyDescent="0.25">
      <c r="A367" s="12">
        <v>336</v>
      </c>
      <c r="B367" s="11">
        <v>42283</v>
      </c>
      <c r="D367" s="11">
        <v>42284</v>
      </c>
      <c r="H367" s="12">
        <v>13</v>
      </c>
      <c r="I367" s="12">
        <v>33.03548</v>
      </c>
      <c r="J367" s="12">
        <v>91.041560000000004</v>
      </c>
      <c r="K367" s="12">
        <v>22.2</v>
      </c>
      <c r="O367" s="12">
        <v>3</v>
      </c>
      <c r="Q367" s="12">
        <v>1410</v>
      </c>
      <c r="R367" s="12">
        <v>182</v>
      </c>
      <c r="S367" s="12">
        <v>18</v>
      </c>
      <c r="T367" s="12">
        <v>1</v>
      </c>
    </row>
    <row r="368" spans="1:20" x14ac:dyDescent="0.25">
      <c r="A368" s="12">
        <v>336</v>
      </c>
      <c r="B368" s="11">
        <v>42283</v>
      </c>
      <c r="D368" s="11">
        <v>42284</v>
      </c>
      <c r="H368" s="12">
        <v>13</v>
      </c>
      <c r="I368" s="12">
        <v>33.03548</v>
      </c>
      <c r="J368" s="12">
        <v>91.041560000000004</v>
      </c>
      <c r="K368" s="12">
        <v>22.2</v>
      </c>
      <c r="O368" s="12">
        <v>3</v>
      </c>
      <c r="Q368" s="12">
        <v>1410</v>
      </c>
      <c r="R368" s="12">
        <v>87</v>
      </c>
      <c r="S368" s="12">
        <v>8</v>
      </c>
      <c r="T368" s="12">
        <v>1</v>
      </c>
    </row>
    <row r="369" spans="1:20" x14ac:dyDescent="0.25">
      <c r="A369" s="12">
        <v>336</v>
      </c>
      <c r="B369" s="11">
        <v>42283</v>
      </c>
      <c r="D369" s="11">
        <v>42284</v>
      </c>
      <c r="H369" s="12">
        <v>13</v>
      </c>
      <c r="I369" s="12">
        <v>33.03548</v>
      </c>
      <c r="J369" s="12">
        <v>91.041560000000004</v>
      </c>
      <c r="K369" s="12">
        <v>22.2</v>
      </c>
      <c r="O369" s="12">
        <v>3</v>
      </c>
      <c r="Q369" s="12">
        <v>1395</v>
      </c>
      <c r="R369" s="12">
        <v>160</v>
      </c>
      <c r="S369" s="12">
        <v>16</v>
      </c>
      <c r="T369" s="12">
        <v>1</v>
      </c>
    </row>
    <row r="370" spans="1:20" x14ac:dyDescent="0.25">
      <c r="A370" s="12">
        <v>336</v>
      </c>
      <c r="B370" s="11">
        <v>42283</v>
      </c>
      <c r="D370" s="11">
        <v>42284</v>
      </c>
      <c r="H370" s="12">
        <v>13</v>
      </c>
      <c r="I370" s="12">
        <v>33.03548</v>
      </c>
      <c r="J370" s="12">
        <v>91.041560000000004</v>
      </c>
      <c r="K370" s="12">
        <v>22.2</v>
      </c>
      <c r="O370" s="12">
        <v>3</v>
      </c>
      <c r="Q370" s="12">
        <v>910</v>
      </c>
      <c r="R370" s="12">
        <v>141</v>
      </c>
      <c r="S370" s="12">
        <v>14</v>
      </c>
      <c r="T370" s="12">
        <v>1</v>
      </c>
    </row>
    <row r="371" spans="1:20" x14ac:dyDescent="0.25">
      <c r="A371" s="12">
        <v>336</v>
      </c>
      <c r="B371" s="11">
        <v>42283</v>
      </c>
      <c r="D371" s="11">
        <v>42284</v>
      </c>
      <c r="H371" s="12">
        <v>13</v>
      </c>
      <c r="I371" s="12">
        <v>33.03548</v>
      </c>
      <c r="J371" s="12">
        <v>91.041560000000004</v>
      </c>
      <c r="K371" s="12">
        <v>22.2</v>
      </c>
      <c r="O371" s="12">
        <v>3</v>
      </c>
      <c r="Q371" s="12">
        <v>1409</v>
      </c>
      <c r="R371" s="12">
        <v>187</v>
      </c>
      <c r="S371" s="12">
        <v>18</v>
      </c>
      <c r="T371" s="12">
        <v>1</v>
      </c>
    </row>
    <row r="372" spans="1:20" x14ac:dyDescent="0.25">
      <c r="A372" s="12">
        <v>336</v>
      </c>
      <c r="B372" s="11">
        <v>42283</v>
      </c>
      <c r="D372" s="11">
        <v>42284</v>
      </c>
      <c r="H372" s="12">
        <v>13</v>
      </c>
      <c r="I372" s="12">
        <v>33.03548</v>
      </c>
      <c r="J372" s="12">
        <v>91.041560000000004</v>
      </c>
      <c r="K372" s="12">
        <v>22.2</v>
      </c>
      <c r="O372" s="12">
        <v>3</v>
      </c>
      <c r="Q372" s="12">
        <v>1409</v>
      </c>
      <c r="R372" s="12">
        <v>206</v>
      </c>
      <c r="S372" s="12">
        <v>20</v>
      </c>
      <c r="T372" s="12">
        <v>1</v>
      </c>
    </row>
    <row r="373" spans="1:20" x14ac:dyDescent="0.25">
      <c r="A373" s="12">
        <v>336</v>
      </c>
      <c r="B373" s="11">
        <v>42283</v>
      </c>
      <c r="D373" s="11">
        <v>42284</v>
      </c>
      <c r="H373" s="12">
        <v>13</v>
      </c>
      <c r="I373" s="12">
        <v>33.03548</v>
      </c>
      <c r="J373" s="12">
        <v>91.041560000000004</v>
      </c>
      <c r="K373" s="12">
        <v>22.2</v>
      </c>
      <c r="O373" s="12">
        <v>3</v>
      </c>
      <c r="Q373" s="12">
        <v>1409</v>
      </c>
      <c r="R373" s="12">
        <v>225</v>
      </c>
      <c r="S373" s="12">
        <v>22</v>
      </c>
      <c r="T373" s="12">
        <v>1</v>
      </c>
    </row>
    <row r="374" spans="1:20" x14ac:dyDescent="0.25">
      <c r="A374" s="12">
        <v>336</v>
      </c>
      <c r="B374" s="11">
        <v>42283</v>
      </c>
      <c r="D374" s="11">
        <v>42284</v>
      </c>
      <c r="H374" s="12">
        <v>13</v>
      </c>
      <c r="I374" s="12">
        <v>33.03548</v>
      </c>
      <c r="J374" s="12">
        <v>91.041560000000004</v>
      </c>
      <c r="K374" s="12">
        <v>22.2</v>
      </c>
      <c r="O374" s="12">
        <v>3</v>
      </c>
      <c r="Q374" s="12">
        <v>1409</v>
      </c>
      <c r="R374" s="12">
        <v>229</v>
      </c>
      <c r="S374" s="12">
        <v>22</v>
      </c>
      <c r="T374" s="12">
        <v>1</v>
      </c>
    </row>
    <row r="375" spans="1:20" x14ac:dyDescent="0.25">
      <c r="A375" s="12">
        <v>336</v>
      </c>
      <c r="B375" s="11">
        <v>42283</v>
      </c>
      <c r="D375" s="11">
        <v>42284</v>
      </c>
      <c r="H375" s="12">
        <v>13</v>
      </c>
      <c r="I375" s="12">
        <v>33.03548</v>
      </c>
      <c r="J375" s="12">
        <v>91.041560000000004</v>
      </c>
      <c r="K375" s="12">
        <v>22.2</v>
      </c>
      <c r="O375" s="12">
        <v>3</v>
      </c>
      <c r="Q375" s="12">
        <v>1409</v>
      </c>
      <c r="R375" s="12">
        <v>77</v>
      </c>
      <c r="S375" s="12">
        <v>7</v>
      </c>
      <c r="T375" s="12">
        <v>1</v>
      </c>
    </row>
    <row r="376" spans="1:20" x14ac:dyDescent="0.25">
      <c r="A376" s="12">
        <v>336</v>
      </c>
      <c r="B376" s="11">
        <v>42283</v>
      </c>
      <c r="D376" s="11">
        <v>42284</v>
      </c>
      <c r="H376" s="12">
        <v>13</v>
      </c>
      <c r="I376" s="12">
        <v>33.03548</v>
      </c>
      <c r="J376" s="12">
        <v>91.041560000000004</v>
      </c>
      <c r="K376" s="12">
        <v>22.2</v>
      </c>
      <c r="O376" s="12">
        <v>3</v>
      </c>
      <c r="Q376" s="12">
        <v>1409</v>
      </c>
      <c r="R376" s="12">
        <v>77</v>
      </c>
      <c r="S376" s="12">
        <v>7</v>
      </c>
      <c r="T376" s="12">
        <v>1</v>
      </c>
    </row>
    <row r="377" spans="1:20" x14ac:dyDescent="0.25">
      <c r="A377" s="12">
        <v>336</v>
      </c>
      <c r="B377" s="11">
        <v>42283</v>
      </c>
      <c r="D377" s="11">
        <v>42284</v>
      </c>
      <c r="H377" s="12">
        <v>13</v>
      </c>
      <c r="I377" s="12">
        <v>33.03548</v>
      </c>
      <c r="J377" s="12">
        <v>91.041560000000004</v>
      </c>
      <c r="K377" s="12">
        <v>22.2</v>
      </c>
      <c r="O377" s="12">
        <v>3</v>
      </c>
      <c r="Q377" s="12">
        <v>1409</v>
      </c>
      <c r="R377" s="12">
        <v>83</v>
      </c>
      <c r="S377" s="12">
        <v>8</v>
      </c>
      <c r="T377" s="12">
        <v>1</v>
      </c>
    </row>
    <row r="378" spans="1:20" x14ac:dyDescent="0.25">
      <c r="A378" s="12">
        <v>336</v>
      </c>
      <c r="B378" s="11">
        <v>42283</v>
      </c>
      <c r="D378" s="11">
        <v>42284</v>
      </c>
      <c r="H378" s="12">
        <v>13</v>
      </c>
      <c r="I378" s="12">
        <v>33.03548</v>
      </c>
      <c r="J378" s="12">
        <v>91.041560000000004</v>
      </c>
      <c r="K378" s="12">
        <v>22.2</v>
      </c>
      <c r="O378" s="12">
        <v>3</v>
      </c>
      <c r="Q378" s="12">
        <v>1409</v>
      </c>
      <c r="R378" s="12">
        <v>81</v>
      </c>
      <c r="S378" s="12">
        <v>8</v>
      </c>
      <c r="T378" s="12">
        <v>1</v>
      </c>
    </row>
    <row r="379" spans="1:20" x14ac:dyDescent="0.25">
      <c r="A379" s="12">
        <v>336</v>
      </c>
      <c r="B379" s="11">
        <v>42283</v>
      </c>
      <c r="D379" s="11">
        <v>42284</v>
      </c>
      <c r="H379" s="12">
        <v>13</v>
      </c>
      <c r="I379" s="12">
        <v>33.03548</v>
      </c>
      <c r="J379" s="12">
        <v>91.041560000000004</v>
      </c>
      <c r="K379" s="12">
        <v>22.2</v>
      </c>
      <c r="O379" s="12">
        <v>3</v>
      </c>
      <c r="Q379" s="12">
        <v>1409</v>
      </c>
      <c r="R379" s="12">
        <v>103</v>
      </c>
      <c r="S379" s="12">
        <v>10</v>
      </c>
      <c r="T379" s="12">
        <v>1</v>
      </c>
    </row>
    <row r="380" spans="1:20" x14ac:dyDescent="0.25">
      <c r="A380" s="12">
        <v>336</v>
      </c>
      <c r="B380" s="11">
        <v>42283</v>
      </c>
      <c r="D380" s="11">
        <v>42284</v>
      </c>
      <c r="H380" s="12">
        <v>13</v>
      </c>
      <c r="I380" s="12">
        <v>33.03548</v>
      </c>
      <c r="J380" s="12">
        <v>91.041560000000004</v>
      </c>
      <c r="K380" s="12">
        <v>22.2</v>
      </c>
      <c r="O380" s="12">
        <v>3</v>
      </c>
      <c r="Q380" s="12">
        <v>1410</v>
      </c>
      <c r="R380" s="12">
        <v>271</v>
      </c>
      <c r="S380" s="12">
        <v>27</v>
      </c>
      <c r="T380" s="12">
        <v>1</v>
      </c>
    </row>
    <row r="381" spans="1:20" x14ac:dyDescent="0.25">
      <c r="A381" s="12">
        <v>336</v>
      </c>
      <c r="B381" s="11">
        <v>42283</v>
      </c>
      <c r="D381" s="11">
        <v>42284</v>
      </c>
      <c r="H381" s="12">
        <v>13</v>
      </c>
      <c r="I381" s="12">
        <v>33.03548</v>
      </c>
      <c r="J381" s="12">
        <v>91.041560000000004</v>
      </c>
      <c r="K381" s="12">
        <v>22.2</v>
      </c>
      <c r="O381" s="12">
        <v>3</v>
      </c>
      <c r="Q381" s="12">
        <v>1410</v>
      </c>
      <c r="R381" s="12">
        <v>252</v>
      </c>
      <c r="S381" s="12">
        <v>25</v>
      </c>
      <c r="T381" s="12">
        <v>1</v>
      </c>
    </row>
    <row r="382" spans="1:20" x14ac:dyDescent="0.25">
      <c r="A382" s="12">
        <v>336</v>
      </c>
      <c r="B382" s="11">
        <v>42283</v>
      </c>
      <c r="D382" s="11">
        <v>42284</v>
      </c>
      <c r="H382" s="12">
        <v>14</v>
      </c>
      <c r="I382" s="12">
        <v>33.041449999999998</v>
      </c>
      <c r="J382" s="12">
        <v>91.041849999999997</v>
      </c>
      <c r="K382" s="12">
        <v>22.2</v>
      </c>
      <c r="O382" s="12">
        <v>3</v>
      </c>
      <c r="Q382" s="12">
        <v>1410</v>
      </c>
      <c r="R382" s="12">
        <v>277</v>
      </c>
      <c r="S382" s="12">
        <v>27</v>
      </c>
      <c r="T382" s="12">
        <v>1</v>
      </c>
    </row>
    <row r="383" spans="1:20" x14ac:dyDescent="0.25">
      <c r="A383" s="12">
        <v>336</v>
      </c>
      <c r="B383" s="11">
        <v>42283</v>
      </c>
      <c r="D383" s="11">
        <v>42284</v>
      </c>
      <c r="H383" s="12">
        <v>14</v>
      </c>
      <c r="I383" s="12">
        <v>33.041449999999998</v>
      </c>
      <c r="J383" s="12">
        <v>91.041849999999997</v>
      </c>
      <c r="K383" s="12">
        <v>22.2</v>
      </c>
      <c r="O383" s="12">
        <v>3</v>
      </c>
      <c r="Q383" s="12">
        <v>1410</v>
      </c>
      <c r="R383" s="12">
        <v>245</v>
      </c>
      <c r="S383" s="12">
        <v>24</v>
      </c>
      <c r="T383" s="12">
        <v>1</v>
      </c>
    </row>
    <row r="384" spans="1:20" x14ac:dyDescent="0.25">
      <c r="A384" s="12">
        <v>336</v>
      </c>
      <c r="B384" s="11">
        <v>42283</v>
      </c>
      <c r="D384" s="11">
        <v>42284</v>
      </c>
      <c r="H384" s="12">
        <v>14</v>
      </c>
      <c r="I384" s="12">
        <v>33.041449999999998</v>
      </c>
      <c r="J384" s="12">
        <v>91.041849999999997</v>
      </c>
      <c r="K384" s="12">
        <v>22.2</v>
      </c>
      <c r="O384" s="12">
        <v>3</v>
      </c>
      <c r="Q384" s="12">
        <v>1410</v>
      </c>
      <c r="R384" s="12">
        <v>142</v>
      </c>
      <c r="S384" s="12">
        <v>14</v>
      </c>
      <c r="T384" s="12">
        <v>1</v>
      </c>
    </row>
    <row r="385" spans="1:20" x14ac:dyDescent="0.25">
      <c r="A385" s="12">
        <v>336</v>
      </c>
      <c r="B385" s="11">
        <v>42283</v>
      </c>
      <c r="D385" s="11">
        <v>42284</v>
      </c>
      <c r="H385" s="12">
        <v>14</v>
      </c>
      <c r="I385" s="12">
        <v>33.041449999999998</v>
      </c>
      <c r="J385" s="12">
        <v>91.041849999999997</v>
      </c>
      <c r="K385" s="12">
        <v>22.2</v>
      </c>
      <c r="O385" s="12">
        <v>3</v>
      </c>
      <c r="Q385" s="12">
        <v>1410</v>
      </c>
      <c r="R385" s="12">
        <v>229</v>
      </c>
      <c r="S385" s="12">
        <v>22</v>
      </c>
      <c r="T385" s="12">
        <v>1</v>
      </c>
    </row>
    <row r="386" spans="1:20" x14ac:dyDescent="0.25">
      <c r="A386" s="12">
        <v>336</v>
      </c>
      <c r="B386" s="11">
        <v>42283</v>
      </c>
      <c r="D386" s="11">
        <v>42284</v>
      </c>
      <c r="H386" s="12">
        <v>14</v>
      </c>
      <c r="I386" s="12">
        <v>33.041449999999998</v>
      </c>
      <c r="J386" s="12">
        <v>91.041849999999997</v>
      </c>
      <c r="K386" s="12">
        <v>22.2</v>
      </c>
      <c r="O386" s="12">
        <v>3</v>
      </c>
      <c r="Q386" s="12">
        <v>1410</v>
      </c>
      <c r="R386" s="12">
        <v>229</v>
      </c>
      <c r="S386" s="12">
        <v>22</v>
      </c>
      <c r="T386" s="12">
        <v>1</v>
      </c>
    </row>
    <row r="387" spans="1:20" x14ac:dyDescent="0.25">
      <c r="A387" s="12">
        <v>336</v>
      </c>
      <c r="B387" s="11">
        <v>42283</v>
      </c>
      <c r="D387" s="11">
        <v>42284</v>
      </c>
      <c r="H387" s="12">
        <v>14</v>
      </c>
      <c r="I387" s="12">
        <v>33.041449999999998</v>
      </c>
      <c r="J387" s="12">
        <v>91.041849999999997</v>
      </c>
      <c r="K387" s="12">
        <v>22.2</v>
      </c>
      <c r="O387" s="12">
        <v>3</v>
      </c>
      <c r="Q387" s="12">
        <v>1410</v>
      </c>
      <c r="R387" s="12">
        <v>274</v>
      </c>
      <c r="S387" s="12">
        <v>27</v>
      </c>
      <c r="T387" s="12">
        <v>1</v>
      </c>
    </row>
    <row r="388" spans="1:20" x14ac:dyDescent="0.25">
      <c r="A388" s="12">
        <v>336</v>
      </c>
      <c r="B388" s="11">
        <v>42283</v>
      </c>
      <c r="D388" s="11">
        <v>42284</v>
      </c>
      <c r="H388" s="12">
        <v>14</v>
      </c>
      <c r="I388" s="12">
        <v>33.041449999999998</v>
      </c>
      <c r="J388" s="12">
        <v>91.041849999999997</v>
      </c>
      <c r="K388" s="12">
        <v>22.2</v>
      </c>
      <c r="O388" s="12">
        <v>3</v>
      </c>
      <c r="Q388" s="12">
        <v>1410</v>
      </c>
      <c r="R388" s="12">
        <v>81</v>
      </c>
      <c r="S388" s="12">
        <v>8</v>
      </c>
      <c r="T388" s="12">
        <v>1</v>
      </c>
    </row>
    <row r="389" spans="1:20" x14ac:dyDescent="0.25">
      <c r="A389" s="12">
        <v>336</v>
      </c>
      <c r="B389" s="11">
        <v>42283</v>
      </c>
      <c r="D389" s="11">
        <v>42284</v>
      </c>
      <c r="H389" s="12">
        <v>14</v>
      </c>
      <c r="I389" s="12">
        <v>33.041449999999998</v>
      </c>
      <c r="J389" s="12">
        <v>91.041849999999997</v>
      </c>
      <c r="K389" s="12">
        <v>22.2</v>
      </c>
      <c r="O389" s="12">
        <v>3</v>
      </c>
      <c r="Q389" s="12">
        <v>1410</v>
      </c>
      <c r="R389" s="12">
        <v>245</v>
      </c>
      <c r="S389" s="12">
        <v>24</v>
      </c>
      <c r="T389" s="12">
        <v>1</v>
      </c>
    </row>
    <row r="390" spans="1:20" x14ac:dyDescent="0.25">
      <c r="A390" s="12">
        <v>336</v>
      </c>
      <c r="B390" s="11">
        <v>42283</v>
      </c>
      <c r="D390" s="11">
        <v>42284</v>
      </c>
      <c r="H390" s="12">
        <v>14</v>
      </c>
      <c r="I390" s="12">
        <v>33.041449999999998</v>
      </c>
      <c r="J390" s="12">
        <v>91.041849999999997</v>
      </c>
      <c r="K390" s="12">
        <v>22.2</v>
      </c>
      <c r="O390" s="12">
        <v>3</v>
      </c>
      <c r="Q390" s="12">
        <v>1410</v>
      </c>
      <c r="R390" s="12">
        <v>233</v>
      </c>
      <c r="S390" s="12">
        <v>23</v>
      </c>
      <c r="T390" s="12">
        <v>1</v>
      </c>
    </row>
    <row r="391" spans="1:20" x14ac:dyDescent="0.25">
      <c r="A391" s="12">
        <v>336</v>
      </c>
      <c r="B391" s="11">
        <v>42283</v>
      </c>
      <c r="D391" s="11">
        <v>42284</v>
      </c>
      <c r="H391" s="12">
        <v>14</v>
      </c>
      <c r="I391" s="12">
        <v>33.041449999999998</v>
      </c>
      <c r="J391" s="12">
        <v>91.041849999999997</v>
      </c>
      <c r="K391" s="12">
        <v>22.2</v>
      </c>
      <c r="O391" s="12">
        <v>3</v>
      </c>
      <c r="Q391" s="12">
        <v>1410</v>
      </c>
      <c r="R391" s="12">
        <v>251</v>
      </c>
      <c r="S391" s="12">
        <v>25</v>
      </c>
      <c r="T391" s="12">
        <v>1</v>
      </c>
    </row>
    <row r="392" spans="1:20" x14ac:dyDescent="0.25">
      <c r="A392" s="12">
        <v>336</v>
      </c>
      <c r="B392" s="11">
        <v>42283</v>
      </c>
      <c r="D392" s="11">
        <v>42284</v>
      </c>
      <c r="H392" s="12">
        <v>14</v>
      </c>
      <c r="I392" s="12">
        <v>33.041449999999998</v>
      </c>
      <c r="J392" s="12">
        <v>91.041849999999997</v>
      </c>
      <c r="K392" s="12">
        <v>22.2</v>
      </c>
      <c r="O392" s="12">
        <v>3</v>
      </c>
      <c r="Q392" s="12">
        <v>1410</v>
      </c>
      <c r="R392" s="12">
        <v>232</v>
      </c>
      <c r="S392" s="12">
        <v>23</v>
      </c>
      <c r="T392" s="12">
        <v>1</v>
      </c>
    </row>
    <row r="393" spans="1:20" x14ac:dyDescent="0.25">
      <c r="A393" s="12">
        <v>336</v>
      </c>
      <c r="B393" s="11">
        <v>42283</v>
      </c>
      <c r="D393" s="11">
        <v>42284</v>
      </c>
      <c r="H393" s="12">
        <v>14</v>
      </c>
      <c r="I393" s="12">
        <v>33.041449999999998</v>
      </c>
      <c r="J393" s="12">
        <v>91.041849999999997</v>
      </c>
      <c r="K393" s="12">
        <v>22.2</v>
      </c>
      <c r="O393" s="12">
        <v>3</v>
      </c>
      <c r="Q393" s="12">
        <v>1410</v>
      </c>
      <c r="R393" s="12">
        <v>289</v>
      </c>
      <c r="S393" s="12">
        <v>28</v>
      </c>
      <c r="T393" s="12">
        <v>1</v>
      </c>
    </row>
    <row r="394" spans="1:20" x14ac:dyDescent="0.25">
      <c r="A394" s="12">
        <v>336</v>
      </c>
      <c r="B394" s="11">
        <v>42283</v>
      </c>
      <c r="D394" s="11">
        <v>42284</v>
      </c>
      <c r="H394" s="12">
        <v>14</v>
      </c>
      <c r="I394" s="12">
        <v>33.041449999999998</v>
      </c>
      <c r="J394" s="12">
        <v>91.041849999999997</v>
      </c>
      <c r="K394" s="12">
        <v>22.2</v>
      </c>
      <c r="O394" s="12">
        <v>3</v>
      </c>
      <c r="Q394" s="12">
        <v>1410</v>
      </c>
      <c r="R394" s="12">
        <v>97</v>
      </c>
      <c r="S394" s="12">
        <v>9</v>
      </c>
      <c r="T394" s="12">
        <v>1</v>
      </c>
    </row>
    <row r="395" spans="1:20" x14ac:dyDescent="0.25">
      <c r="A395" s="12">
        <v>336</v>
      </c>
      <c r="B395" s="11">
        <v>42283</v>
      </c>
      <c r="D395" s="11">
        <v>42284</v>
      </c>
      <c r="H395" s="12">
        <v>14</v>
      </c>
      <c r="I395" s="12">
        <v>33.041449999999998</v>
      </c>
      <c r="J395" s="12">
        <v>91.041849999999997</v>
      </c>
      <c r="K395" s="12">
        <v>22.2</v>
      </c>
      <c r="O395" s="12">
        <v>3</v>
      </c>
      <c r="Q395" s="12">
        <v>1410</v>
      </c>
      <c r="R395" s="12">
        <v>244</v>
      </c>
      <c r="S395" s="12">
        <v>24</v>
      </c>
      <c r="T395" s="12">
        <v>1</v>
      </c>
    </row>
    <row r="396" spans="1:20" x14ac:dyDescent="0.25">
      <c r="A396" s="12">
        <v>336</v>
      </c>
      <c r="B396" s="11">
        <v>42283</v>
      </c>
      <c r="D396" s="11">
        <v>42284</v>
      </c>
      <c r="H396" s="12">
        <v>14</v>
      </c>
      <c r="I396" s="12">
        <v>33.041449999999998</v>
      </c>
      <c r="J396" s="12">
        <v>91.041849999999997</v>
      </c>
      <c r="K396" s="12">
        <v>22.2</v>
      </c>
      <c r="O396" s="12">
        <v>3</v>
      </c>
      <c r="Q396" s="12">
        <v>1410</v>
      </c>
      <c r="R396" s="12">
        <v>241</v>
      </c>
      <c r="S396" s="12">
        <v>24</v>
      </c>
      <c r="T396" s="12">
        <v>1</v>
      </c>
    </row>
    <row r="397" spans="1:20" x14ac:dyDescent="0.25">
      <c r="A397" s="12">
        <v>336</v>
      </c>
      <c r="B397" s="11">
        <v>42283</v>
      </c>
      <c r="D397" s="11">
        <v>42284</v>
      </c>
      <c r="H397" s="12">
        <v>14</v>
      </c>
      <c r="I397" s="12">
        <v>33.041449999999998</v>
      </c>
      <c r="J397" s="12">
        <v>91.041849999999997</v>
      </c>
      <c r="K397" s="12">
        <v>22.2</v>
      </c>
      <c r="O397" s="12">
        <v>3</v>
      </c>
      <c r="Q397" s="12">
        <v>1410</v>
      </c>
      <c r="R397" s="12">
        <v>233</v>
      </c>
      <c r="S397" s="12">
        <v>23</v>
      </c>
      <c r="T397" s="12">
        <v>1</v>
      </c>
    </row>
    <row r="398" spans="1:20" x14ac:dyDescent="0.25">
      <c r="A398" s="12">
        <v>336</v>
      </c>
      <c r="B398" s="11">
        <v>42283</v>
      </c>
      <c r="D398" s="11">
        <v>42284</v>
      </c>
      <c r="H398" s="12">
        <v>14</v>
      </c>
      <c r="I398" s="12">
        <v>33.041449999999998</v>
      </c>
      <c r="J398" s="12">
        <v>91.041849999999997</v>
      </c>
      <c r="K398" s="12">
        <v>22.2</v>
      </c>
      <c r="O398" s="12">
        <v>3</v>
      </c>
      <c r="Q398" s="12">
        <v>1410</v>
      </c>
      <c r="R398" s="12">
        <v>219</v>
      </c>
      <c r="S398" s="12">
        <v>21</v>
      </c>
      <c r="T398" s="12">
        <v>1</v>
      </c>
    </row>
    <row r="399" spans="1:20" x14ac:dyDescent="0.25">
      <c r="A399" s="12">
        <v>336</v>
      </c>
      <c r="B399" s="11">
        <v>42283</v>
      </c>
      <c r="D399" s="11">
        <v>42284</v>
      </c>
      <c r="H399" s="12">
        <v>14</v>
      </c>
      <c r="I399" s="12">
        <v>33.041449999999998</v>
      </c>
      <c r="J399" s="12">
        <v>91.041849999999997</v>
      </c>
      <c r="K399" s="12">
        <v>22.2</v>
      </c>
      <c r="O399" s="12">
        <v>3</v>
      </c>
      <c r="Q399" s="12">
        <v>1410</v>
      </c>
      <c r="R399" s="12">
        <v>232</v>
      </c>
      <c r="S399" s="12">
        <v>23</v>
      </c>
      <c r="T399" s="12">
        <v>1</v>
      </c>
    </row>
    <row r="400" spans="1:20" x14ac:dyDescent="0.25">
      <c r="A400" s="12">
        <v>336</v>
      </c>
      <c r="B400" s="11">
        <v>42283</v>
      </c>
      <c r="D400" s="11">
        <v>42284</v>
      </c>
      <c r="H400" s="12">
        <v>14</v>
      </c>
      <c r="I400" s="12">
        <v>33.041449999999998</v>
      </c>
      <c r="J400" s="12">
        <v>91.041849999999997</v>
      </c>
      <c r="K400" s="12">
        <v>22.2</v>
      </c>
      <c r="O400" s="12">
        <v>3</v>
      </c>
      <c r="Q400" s="12">
        <v>1410</v>
      </c>
      <c r="R400" s="12">
        <v>150</v>
      </c>
      <c r="S400" s="12">
        <v>15</v>
      </c>
      <c r="T400" s="12">
        <v>1</v>
      </c>
    </row>
    <row r="401" spans="1:20" x14ac:dyDescent="0.25">
      <c r="A401" s="12">
        <v>336</v>
      </c>
      <c r="B401" s="11">
        <v>42283</v>
      </c>
      <c r="D401" s="11">
        <v>42284</v>
      </c>
      <c r="H401" s="12">
        <v>14</v>
      </c>
      <c r="I401" s="12">
        <v>33.041449999999998</v>
      </c>
      <c r="J401" s="12">
        <v>91.041849999999997</v>
      </c>
      <c r="K401" s="12">
        <v>22.2</v>
      </c>
      <c r="O401" s="12">
        <v>3</v>
      </c>
      <c r="Q401" s="12">
        <v>1410</v>
      </c>
      <c r="R401" s="12">
        <v>79</v>
      </c>
      <c r="S401" s="12">
        <v>7</v>
      </c>
      <c r="T401" s="12">
        <v>1</v>
      </c>
    </row>
    <row r="402" spans="1:20" x14ac:dyDescent="0.25">
      <c r="A402" s="12">
        <v>336</v>
      </c>
      <c r="B402" s="11">
        <v>42283</v>
      </c>
      <c r="D402" s="11">
        <v>42284</v>
      </c>
      <c r="H402" s="12">
        <v>14</v>
      </c>
      <c r="I402" s="12">
        <v>33.041449999999998</v>
      </c>
      <c r="J402" s="12">
        <v>91.041849999999997</v>
      </c>
      <c r="K402" s="12">
        <v>22.2</v>
      </c>
      <c r="O402" s="12">
        <v>3</v>
      </c>
      <c r="Q402" s="12">
        <v>1410</v>
      </c>
      <c r="R402" s="12">
        <v>125</v>
      </c>
      <c r="S402" s="12">
        <v>12</v>
      </c>
      <c r="T402" s="12">
        <v>1</v>
      </c>
    </row>
    <row r="403" spans="1:20" x14ac:dyDescent="0.25">
      <c r="A403" s="12">
        <v>336</v>
      </c>
      <c r="B403" s="11">
        <v>42283</v>
      </c>
      <c r="D403" s="11">
        <v>42284</v>
      </c>
      <c r="H403" s="12">
        <v>14</v>
      </c>
      <c r="I403" s="12">
        <v>33.041449999999998</v>
      </c>
      <c r="J403" s="12">
        <v>91.041849999999997</v>
      </c>
      <c r="K403" s="12">
        <v>22.2</v>
      </c>
      <c r="O403" s="12">
        <v>3</v>
      </c>
      <c r="Q403" s="12">
        <v>1410</v>
      </c>
      <c r="R403" s="12">
        <v>169</v>
      </c>
      <c r="S403" s="12">
        <v>16</v>
      </c>
      <c r="T403" s="12">
        <v>1</v>
      </c>
    </row>
    <row r="404" spans="1:20" x14ac:dyDescent="0.25">
      <c r="A404" s="12">
        <v>336</v>
      </c>
      <c r="B404" s="11">
        <v>42283</v>
      </c>
      <c r="D404" s="11">
        <v>42284</v>
      </c>
      <c r="H404" s="12">
        <v>14</v>
      </c>
      <c r="I404" s="12">
        <v>33.041449999999998</v>
      </c>
      <c r="J404" s="12">
        <v>91.041849999999997</v>
      </c>
      <c r="K404" s="12">
        <v>22.2</v>
      </c>
      <c r="O404" s="12">
        <v>3</v>
      </c>
      <c r="Q404" s="12">
        <v>1410</v>
      </c>
      <c r="R404" s="12">
        <v>87</v>
      </c>
      <c r="S404" s="12">
        <v>8</v>
      </c>
      <c r="T404" s="12">
        <v>1</v>
      </c>
    </row>
    <row r="405" spans="1:20" x14ac:dyDescent="0.25">
      <c r="A405" s="12">
        <v>336</v>
      </c>
      <c r="B405" s="11">
        <v>42283</v>
      </c>
      <c r="D405" s="11">
        <v>42284</v>
      </c>
      <c r="H405" s="12">
        <v>14</v>
      </c>
      <c r="I405" s="12">
        <v>33.041449999999998</v>
      </c>
      <c r="J405" s="12">
        <v>91.041849999999997</v>
      </c>
      <c r="K405" s="12">
        <v>22.2</v>
      </c>
      <c r="O405" s="12">
        <v>3</v>
      </c>
      <c r="Q405" s="12">
        <v>1410</v>
      </c>
      <c r="R405" s="12">
        <v>132</v>
      </c>
      <c r="S405" s="12">
        <v>13</v>
      </c>
      <c r="T405" s="12">
        <v>1</v>
      </c>
    </row>
    <row r="406" spans="1:20" x14ac:dyDescent="0.25">
      <c r="A406" s="12">
        <v>336</v>
      </c>
      <c r="B406" s="11">
        <v>42283</v>
      </c>
      <c r="D406" s="11">
        <v>42284</v>
      </c>
      <c r="H406" s="12">
        <v>14</v>
      </c>
      <c r="I406" s="12">
        <v>33.041449999999998</v>
      </c>
      <c r="J406" s="12">
        <v>91.041849999999997</v>
      </c>
      <c r="K406" s="12">
        <v>22.2</v>
      </c>
      <c r="O406" s="12">
        <v>3</v>
      </c>
      <c r="Q406" s="12">
        <v>1410</v>
      </c>
      <c r="R406" s="12">
        <v>74</v>
      </c>
      <c r="S406" s="12">
        <v>7</v>
      </c>
      <c r="T406" s="12">
        <v>1</v>
      </c>
    </row>
    <row r="407" spans="1:20" x14ac:dyDescent="0.25">
      <c r="A407" s="12">
        <v>336</v>
      </c>
      <c r="B407" s="11">
        <v>42283</v>
      </c>
      <c r="D407" s="11">
        <v>42284</v>
      </c>
      <c r="H407" s="12">
        <v>14</v>
      </c>
      <c r="I407" s="12">
        <v>33.041449999999998</v>
      </c>
      <c r="J407" s="12">
        <v>91.041849999999997</v>
      </c>
      <c r="K407" s="12">
        <v>22.2</v>
      </c>
      <c r="O407" s="12">
        <v>3</v>
      </c>
      <c r="Q407" s="12">
        <v>1410</v>
      </c>
      <c r="R407" s="12">
        <v>72</v>
      </c>
      <c r="S407" s="12">
        <v>7</v>
      </c>
      <c r="T407" s="12">
        <v>1</v>
      </c>
    </row>
    <row r="408" spans="1:20" x14ac:dyDescent="0.25">
      <c r="A408" s="12">
        <v>336</v>
      </c>
      <c r="B408" s="11">
        <v>42283</v>
      </c>
      <c r="D408" s="11">
        <v>42284</v>
      </c>
      <c r="H408" s="12">
        <v>14</v>
      </c>
      <c r="I408" s="12">
        <v>33.041449999999998</v>
      </c>
      <c r="J408" s="12">
        <v>91.041849999999997</v>
      </c>
      <c r="K408" s="12">
        <v>22.2</v>
      </c>
      <c r="O408" s="12">
        <v>3</v>
      </c>
      <c r="Q408" s="12">
        <v>1409</v>
      </c>
      <c r="R408" s="12">
        <v>114</v>
      </c>
      <c r="S408" s="12">
        <v>11</v>
      </c>
      <c r="T408" s="12">
        <v>1</v>
      </c>
    </row>
    <row r="409" spans="1:20" x14ac:dyDescent="0.25">
      <c r="A409" s="12">
        <v>336</v>
      </c>
      <c r="B409" s="11">
        <v>42283</v>
      </c>
      <c r="D409" s="11">
        <v>42284</v>
      </c>
      <c r="H409" s="12">
        <v>14</v>
      </c>
      <c r="I409" s="12">
        <v>33.041449999999998</v>
      </c>
      <c r="J409" s="12">
        <v>91.041849999999997</v>
      </c>
      <c r="K409" s="12">
        <v>22.2</v>
      </c>
      <c r="O409" s="12">
        <v>3</v>
      </c>
      <c r="Q409" s="12">
        <v>1409</v>
      </c>
      <c r="R409" s="12">
        <v>181</v>
      </c>
      <c r="S409" s="12">
        <v>18</v>
      </c>
      <c r="T409" s="12">
        <v>1</v>
      </c>
    </row>
    <row r="410" spans="1:20" x14ac:dyDescent="0.25">
      <c r="A410" s="12">
        <v>336</v>
      </c>
      <c r="B410" s="11">
        <v>42283</v>
      </c>
      <c r="D410" s="11">
        <v>42284</v>
      </c>
      <c r="H410" s="12">
        <v>14</v>
      </c>
      <c r="I410" s="12">
        <v>33.041449999999998</v>
      </c>
      <c r="J410" s="12">
        <v>91.041849999999997</v>
      </c>
      <c r="K410" s="12">
        <v>22.2</v>
      </c>
      <c r="O410" s="12">
        <v>3</v>
      </c>
      <c r="Q410" s="12">
        <v>1409</v>
      </c>
      <c r="R410" s="12">
        <v>193</v>
      </c>
      <c r="S410" s="12">
        <v>19</v>
      </c>
      <c r="T410" s="12">
        <v>1</v>
      </c>
    </row>
    <row r="411" spans="1:20" x14ac:dyDescent="0.25">
      <c r="A411" s="12">
        <v>336</v>
      </c>
      <c r="B411" s="11">
        <v>42283</v>
      </c>
      <c r="D411" s="11">
        <v>42284</v>
      </c>
      <c r="H411" s="12">
        <v>14</v>
      </c>
      <c r="I411" s="12">
        <v>33.041449999999998</v>
      </c>
      <c r="J411" s="12">
        <v>91.041849999999997</v>
      </c>
      <c r="K411" s="12">
        <v>22.2</v>
      </c>
      <c r="O411" s="12">
        <v>3</v>
      </c>
      <c r="Q411" s="12">
        <v>1409</v>
      </c>
      <c r="R411" s="12">
        <v>109</v>
      </c>
      <c r="S411" s="12">
        <v>10</v>
      </c>
      <c r="T411" s="12">
        <v>1</v>
      </c>
    </row>
    <row r="412" spans="1:20" x14ac:dyDescent="0.25">
      <c r="A412" s="12">
        <v>336</v>
      </c>
      <c r="B412" s="11">
        <v>42283</v>
      </c>
      <c r="D412" s="11">
        <v>42284</v>
      </c>
      <c r="H412" s="12">
        <v>14</v>
      </c>
      <c r="I412" s="12">
        <v>33.041449999999998</v>
      </c>
      <c r="J412" s="12">
        <v>91.041849999999997</v>
      </c>
      <c r="K412" s="12">
        <v>22.2</v>
      </c>
      <c r="O412" s="12">
        <v>3</v>
      </c>
      <c r="Q412" s="12">
        <v>1409</v>
      </c>
      <c r="R412" s="12">
        <v>80</v>
      </c>
      <c r="S412" s="12">
        <v>8</v>
      </c>
      <c r="T412" s="12">
        <v>1</v>
      </c>
    </row>
    <row r="413" spans="1:20" x14ac:dyDescent="0.25">
      <c r="A413" s="12">
        <v>336</v>
      </c>
      <c r="B413" s="11">
        <v>42283</v>
      </c>
      <c r="D413" s="11">
        <v>42284</v>
      </c>
      <c r="H413" s="12">
        <v>14</v>
      </c>
      <c r="I413" s="12">
        <v>33.041449999999998</v>
      </c>
      <c r="J413" s="12">
        <v>91.041849999999997</v>
      </c>
      <c r="K413" s="12">
        <v>22.2</v>
      </c>
      <c r="O413" s="12">
        <v>3</v>
      </c>
      <c r="Q413" s="12">
        <v>910</v>
      </c>
      <c r="R413" s="12">
        <v>89</v>
      </c>
      <c r="S413" s="12">
        <v>8</v>
      </c>
      <c r="T413" s="12">
        <v>1</v>
      </c>
    </row>
    <row r="414" spans="1:20" x14ac:dyDescent="0.25">
      <c r="A414" s="12">
        <v>336</v>
      </c>
      <c r="B414" s="11">
        <v>42283</v>
      </c>
      <c r="D414" s="11">
        <v>42284</v>
      </c>
      <c r="H414" s="12">
        <v>14</v>
      </c>
      <c r="I414" s="12">
        <v>33.041449999999998</v>
      </c>
      <c r="J414" s="12">
        <v>91.041849999999997</v>
      </c>
      <c r="K414" s="12">
        <v>22.2</v>
      </c>
      <c r="O414" s="12">
        <v>3</v>
      </c>
      <c r="Q414" s="12">
        <v>312</v>
      </c>
      <c r="R414" s="12">
        <v>83</v>
      </c>
      <c r="S414" s="12">
        <v>8</v>
      </c>
      <c r="T414" s="12">
        <v>1</v>
      </c>
    </row>
    <row r="415" spans="1:20" x14ac:dyDescent="0.25">
      <c r="A415" s="12">
        <v>336</v>
      </c>
      <c r="B415" s="11">
        <v>42283</v>
      </c>
      <c r="D415" s="11">
        <v>42284</v>
      </c>
      <c r="H415" s="12">
        <v>15</v>
      </c>
      <c r="I415" s="12">
        <v>33.045839999999998</v>
      </c>
      <c r="J415" s="12">
        <v>91.044799999999995</v>
      </c>
      <c r="K415" s="12">
        <v>22.2</v>
      </c>
      <c r="O415" s="12">
        <v>5</v>
      </c>
      <c r="Q415" s="12">
        <v>218</v>
      </c>
      <c r="R415" s="12">
        <v>770</v>
      </c>
      <c r="S415" s="12">
        <v>77</v>
      </c>
      <c r="T415" s="12">
        <v>1</v>
      </c>
    </row>
    <row r="416" spans="1:20" x14ac:dyDescent="0.25">
      <c r="A416" s="12">
        <v>336</v>
      </c>
      <c r="B416" s="11">
        <v>42283</v>
      </c>
      <c r="D416" s="11">
        <v>42284</v>
      </c>
      <c r="H416" s="12">
        <v>15</v>
      </c>
      <c r="I416" s="12">
        <v>33.045839999999998</v>
      </c>
      <c r="J416" s="12">
        <v>91.044799999999995</v>
      </c>
      <c r="K416" s="12">
        <v>22.2</v>
      </c>
      <c r="O416" s="12">
        <v>5</v>
      </c>
      <c r="Q416" s="12">
        <v>910</v>
      </c>
      <c r="R416" s="12">
        <v>444</v>
      </c>
      <c r="S416" s="12">
        <v>44</v>
      </c>
      <c r="T416" s="12">
        <v>1</v>
      </c>
    </row>
    <row r="417" spans="1:20" x14ac:dyDescent="0.25">
      <c r="A417" s="12">
        <v>336</v>
      </c>
      <c r="B417" s="11">
        <v>42283</v>
      </c>
      <c r="D417" s="11">
        <v>42284</v>
      </c>
      <c r="H417" s="12">
        <v>15</v>
      </c>
      <c r="I417" s="12">
        <v>33.045839999999998</v>
      </c>
      <c r="J417" s="12">
        <v>91.044799999999995</v>
      </c>
      <c r="K417" s="12">
        <v>22.2</v>
      </c>
      <c r="O417" s="12">
        <v>5</v>
      </c>
      <c r="Q417" s="12">
        <v>910</v>
      </c>
      <c r="R417" s="12">
        <v>454</v>
      </c>
      <c r="S417" s="12">
        <v>45</v>
      </c>
      <c r="T417" s="12">
        <v>1</v>
      </c>
    </row>
    <row r="418" spans="1:20" x14ac:dyDescent="0.25">
      <c r="A418" s="12">
        <v>336</v>
      </c>
      <c r="B418" s="11">
        <v>42283</v>
      </c>
      <c r="D418" s="11">
        <v>42284</v>
      </c>
      <c r="H418" s="12">
        <v>15</v>
      </c>
      <c r="I418" s="12">
        <v>33.045839999999998</v>
      </c>
      <c r="J418" s="12">
        <v>91.044799999999995</v>
      </c>
      <c r="K418" s="12">
        <v>22.2</v>
      </c>
      <c r="O418" s="12">
        <v>5</v>
      </c>
      <c r="Q418" s="12">
        <v>910</v>
      </c>
      <c r="R418" s="12">
        <v>436</v>
      </c>
      <c r="S418" s="12">
        <v>43</v>
      </c>
      <c r="T418" s="12">
        <v>1</v>
      </c>
    </row>
    <row r="419" spans="1:20" x14ac:dyDescent="0.25">
      <c r="A419" s="12">
        <v>336</v>
      </c>
      <c r="B419" s="11">
        <v>42283</v>
      </c>
      <c r="D419" s="11">
        <v>42284</v>
      </c>
      <c r="H419" s="12">
        <v>15</v>
      </c>
      <c r="I419" s="12">
        <v>33.045839999999998</v>
      </c>
      <c r="J419" s="12">
        <v>91.044799999999995</v>
      </c>
      <c r="K419" s="12">
        <v>22.2</v>
      </c>
      <c r="O419" s="12">
        <v>5</v>
      </c>
      <c r="Q419" s="12">
        <v>910</v>
      </c>
      <c r="R419" s="12">
        <v>307</v>
      </c>
      <c r="S419" s="12">
        <v>30</v>
      </c>
      <c r="T419" s="12">
        <v>1</v>
      </c>
    </row>
    <row r="420" spans="1:20" x14ac:dyDescent="0.25">
      <c r="A420" s="12">
        <v>336</v>
      </c>
      <c r="B420" s="11">
        <v>42283</v>
      </c>
      <c r="D420" s="11">
        <v>42284</v>
      </c>
      <c r="H420" s="12">
        <v>15</v>
      </c>
      <c r="I420" s="12">
        <v>33.045839999999998</v>
      </c>
      <c r="J420" s="12">
        <v>91.044799999999995</v>
      </c>
      <c r="K420" s="12">
        <v>22.2</v>
      </c>
      <c r="O420" s="12">
        <v>5</v>
      </c>
      <c r="Q420" s="12">
        <v>910</v>
      </c>
      <c r="R420" s="12">
        <v>425</v>
      </c>
      <c r="S420" s="12">
        <v>42</v>
      </c>
      <c r="T420" s="12">
        <v>1</v>
      </c>
    </row>
    <row r="421" spans="1:20" x14ac:dyDescent="0.25">
      <c r="A421" s="12">
        <v>336</v>
      </c>
      <c r="B421" s="11">
        <v>42283</v>
      </c>
      <c r="D421" s="11">
        <v>42284</v>
      </c>
      <c r="H421" s="12">
        <v>15</v>
      </c>
      <c r="I421" s="12">
        <v>33.045839999999998</v>
      </c>
      <c r="J421" s="12">
        <v>91.044799999999995</v>
      </c>
      <c r="K421" s="12">
        <v>22.2</v>
      </c>
      <c r="O421" s="12">
        <v>5</v>
      </c>
      <c r="Q421" s="12">
        <v>910</v>
      </c>
      <c r="R421" s="12">
        <v>494</v>
      </c>
      <c r="S421" s="12">
        <v>49</v>
      </c>
      <c r="T421" s="12">
        <v>1</v>
      </c>
    </row>
    <row r="422" spans="1:20" x14ac:dyDescent="0.25">
      <c r="A422" s="12">
        <v>336</v>
      </c>
      <c r="B422" s="11">
        <v>42283</v>
      </c>
      <c r="D422" s="11">
        <v>42284</v>
      </c>
      <c r="H422" s="12">
        <v>15</v>
      </c>
      <c r="I422" s="12">
        <v>33.045839999999998</v>
      </c>
      <c r="J422" s="12">
        <v>91.044799999999995</v>
      </c>
      <c r="K422" s="12">
        <v>22.2</v>
      </c>
      <c r="O422" s="12">
        <v>5</v>
      </c>
      <c r="Q422" s="12">
        <v>910</v>
      </c>
      <c r="R422" s="12">
        <v>448</v>
      </c>
      <c r="S422" s="12">
        <v>44</v>
      </c>
      <c r="T422" s="12">
        <v>1</v>
      </c>
    </row>
    <row r="423" spans="1:20" x14ac:dyDescent="0.25">
      <c r="A423" s="12">
        <v>336</v>
      </c>
      <c r="B423" s="11">
        <v>42283</v>
      </c>
      <c r="D423" s="11">
        <v>42284</v>
      </c>
      <c r="H423" s="12">
        <v>15</v>
      </c>
      <c r="I423" s="12">
        <v>33.045839999999998</v>
      </c>
      <c r="J423" s="12">
        <v>91.044799999999995</v>
      </c>
      <c r="K423" s="12">
        <v>22.2</v>
      </c>
      <c r="O423" s="12">
        <v>5</v>
      </c>
      <c r="Q423" s="12">
        <v>1758</v>
      </c>
      <c r="R423" s="12">
        <v>331</v>
      </c>
      <c r="S423" s="12">
        <v>33</v>
      </c>
      <c r="T423" s="12">
        <v>1</v>
      </c>
    </row>
    <row r="424" spans="1:20" x14ac:dyDescent="0.25">
      <c r="A424" s="12">
        <v>336</v>
      </c>
      <c r="B424" s="11">
        <v>42283</v>
      </c>
      <c r="D424" s="11">
        <v>42284</v>
      </c>
      <c r="H424" s="12">
        <v>15</v>
      </c>
      <c r="I424" s="12">
        <v>33.045839999999998</v>
      </c>
      <c r="J424" s="12">
        <v>91.044799999999995</v>
      </c>
      <c r="K424" s="12">
        <v>22.2</v>
      </c>
      <c r="O424" s="12">
        <v>5</v>
      </c>
      <c r="Q424" s="12">
        <v>1758</v>
      </c>
      <c r="R424" s="12">
        <v>301</v>
      </c>
      <c r="S424" s="12">
        <v>30</v>
      </c>
      <c r="T424" s="12">
        <v>1</v>
      </c>
    </row>
    <row r="425" spans="1:20" x14ac:dyDescent="0.25">
      <c r="A425" s="12">
        <v>336</v>
      </c>
      <c r="B425" s="11">
        <v>42283</v>
      </c>
      <c r="D425" s="11">
        <v>42284</v>
      </c>
      <c r="H425" s="12">
        <v>15</v>
      </c>
      <c r="I425" s="12">
        <v>33.045839999999998</v>
      </c>
      <c r="J425" s="12">
        <v>91.044799999999995</v>
      </c>
      <c r="K425" s="12">
        <v>22.2</v>
      </c>
      <c r="O425" s="12">
        <v>5</v>
      </c>
      <c r="Q425" s="12">
        <v>1410</v>
      </c>
      <c r="R425" s="12">
        <v>294</v>
      </c>
      <c r="S425" s="12">
        <v>29</v>
      </c>
      <c r="T425" s="12">
        <v>1</v>
      </c>
    </row>
    <row r="426" spans="1:20" x14ac:dyDescent="0.25">
      <c r="A426" s="12">
        <v>336</v>
      </c>
      <c r="B426" s="11">
        <v>42283</v>
      </c>
      <c r="D426" s="11">
        <v>42284</v>
      </c>
      <c r="H426" s="12">
        <v>15</v>
      </c>
      <c r="I426" s="12">
        <v>33.045839999999998</v>
      </c>
      <c r="J426" s="12">
        <v>91.044799999999995</v>
      </c>
      <c r="K426" s="12">
        <v>22.2</v>
      </c>
      <c r="O426" s="12">
        <v>5</v>
      </c>
      <c r="Q426" s="12">
        <v>1410</v>
      </c>
      <c r="R426" s="12">
        <v>300</v>
      </c>
      <c r="S426" s="12">
        <v>30</v>
      </c>
      <c r="T426" s="12">
        <v>1</v>
      </c>
    </row>
    <row r="427" spans="1:20" x14ac:dyDescent="0.25">
      <c r="A427" s="12">
        <v>336</v>
      </c>
      <c r="B427" s="11">
        <v>42283</v>
      </c>
      <c r="D427" s="11">
        <v>42284</v>
      </c>
      <c r="H427" s="12">
        <v>15</v>
      </c>
      <c r="I427" s="12">
        <v>33.045839999999998</v>
      </c>
      <c r="J427" s="12">
        <v>91.044799999999995</v>
      </c>
      <c r="K427" s="12">
        <v>22.2</v>
      </c>
      <c r="O427" s="12">
        <v>5</v>
      </c>
      <c r="Q427" s="12">
        <v>1410</v>
      </c>
      <c r="R427" s="12">
        <v>288</v>
      </c>
      <c r="S427" s="12">
        <v>28</v>
      </c>
      <c r="T427" s="12">
        <v>1</v>
      </c>
    </row>
    <row r="428" spans="1:20" x14ac:dyDescent="0.25">
      <c r="A428" s="12">
        <v>336</v>
      </c>
      <c r="B428" s="11">
        <v>42283</v>
      </c>
      <c r="D428" s="11">
        <v>42284</v>
      </c>
      <c r="H428" s="12">
        <v>15</v>
      </c>
      <c r="I428" s="12">
        <v>33.045839999999998</v>
      </c>
      <c r="J428" s="12">
        <v>91.044799999999995</v>
      </c>
      <c r="K428" s="12">
        <v>22.2</v>
      </c>
      <c r="O428" s="12">
        <v>5</v>
      </c>
      <c r="Q428" s="12">
        <v>1410</v>
      </c>
      <c r="R428" s="12">
        <v>256</v>
      </c>
      <c r="S428" s="12">
        <v>25</v>
      </c>
      <c r="T428" s="12">
        <v>1</v>
      </c>
    </row>
    <row r="429" spans="1:20" x14ac:dyDescent="0.25">
      <c r="A429" s="12">
        <v>336</v>
      </c>
      <c r="B429" s="11">
        <v>42283</v>
      </c>
      <c r="D429" s="11">
        <v>42284</v>
      </c>
      <c r="H429" s="12">
        <v>15</v>
      </c>
      <c r="I429" s="12">
        <v>33.045839999999998</v>
      </c>
      <c r="J429" s="12">
        <v>91.044799999999995</v>
      </c>
      <c r="K429" s="12">
        <v>22.2</v>
      </c>
      <c r="O429" s="12">
        <v>5</v>
      </c>
      <c r="Q429" s="12">
        <v>1410</v>
      </c>
      <c r="R429" s="12">
        <v>285</v>
      </c>
      <c r="S429" s="12">
        <v>28</v>
      </c>
      <c r="T429" s="12">
        <v>1</v>
      </c>
    </row>
    <row r="430" spans="1:20" x14ac:dyDescent="0.25">
      <c r="A430" s="12">
        <v>336</v>
      </c>
      <c r="B430" s="11">
        <v>42283</v>
      </c>
      <c r="D430" s="11">
        <v>42284</v>
      </c>
      <c r="H430" s="12">
        <v>15</v>
      </c>
      <c r="I430" s="12">
        <v>33.045839999999998</v>
      </c>
      <c r="J430" s="12">
        <v>91.044799999999995</v>
      </c>
      <c r="K430" s="12">
        <v>22.2</v>
      </c>
      <c r="O430" s="12">
        <v>5</v>
      </c>
      <c r="Q430" s="12">
        <v>1410</v>
      </c>
      <c r="R430" s="12">
        <v>259</v>
      </c>
      <c r="S430" s="12">
        <v>25</v>
      </c>
      <c r="T430" s="12">
        <v>1</v>
      </c>
    </row>
    <row r="431" spans="1:20" x14ac:dyDescent="0.25">
      <c r="A431" s="12">
        <v>336</v>
      </c>
      <c r="B431" s="11">
        <v>42283</v>
      </c>
      <c r="D431" s="11">
        <v>42284</v>
      </c>
      <c r="H431" s="12">
        <v>15</v>
      </c>
      <c r="I431" s="12">
        <v>33.045839999999998</v>
      </c>
      <c r="J431" s="12">
        <v>91.044799999999995</v>
      </c>
      <c r="K431" s="12">
        <v>22.2</v>
      </c>
      <c r="O431" s="12">
        <v>5</v>
      </c>
      <c r="Q431" s="12">
        <v>1410</v>
      </c>
      <c r="R431" s="12">
        <v>227</v>
      </c>
      <c r="S431" s="12">
        <v>22</v>
      </c>
      <c r="T431" s="12">
        <v>1</v>
      </c>
    </row>
    <row r="432" spans="1:20" x14ac:dyDescent="0.25">
      <c r="A432" s="12">
        <v>336</v>
      </c>
      <c r="B432" s="11">
        <v>42283</v>
      </c>
      <c r="D432" s="11">
        <v>42284</v>
      </c>
      <c r="H432" s="12">
        <v>15</v>
      </c>
      <c r="I432" s="12">
        <v>33.045839999999998</v>
      </c>
      <c r="J432" s="12">
        <v>91.044799999999995</v>
      </c>
      <c r="K432" s="12">
        <v>22.2</v>
      </c>
      <c r="O432" s="12">
        <v>5</v>
      </c>
      <c r="Q432" s="12">
        <v>1410</v>
      </c>
      <c r="R432" s="12">
        <v>160</v>
      </c>
      <c r="S432" s="12">
        <v>16</v>
      </c>
      <c r="T432" s="12">
        <v>1</v>
      </c>
    </row>
    <row r="433" spans="1:20" x14ac:dyDescent="0.25">
      <c r="A433" s="12">
        <v>336</v>
      </c>
      <c r="B433" s="11">
        <v>42283</v>
      </c>
      <c r="D433" s="11">
        <v>42284</v>
      </c>
      <c r="H433" s="12">
        <v>15</v>
      </c>
      <c r="I433" s="12">
        <v>33.045839999999998</v>
      </c>
      <c r="J433" s="12">
        <v>91.044799999999995</v>
      </c>
      <c r="K433" s="12">
        <v>22.2</v>
      </c>
      <c r="O433" s="12">
        <v>5</v>
      </c>
      <c r="Q433" s="12">
        <v>1410</v>
      </c>
      <c r="R433" s="12">
        <v>182</v>
      </c>
      <c r="S433" s="12">
        <v>18</v>
      </c>
      <c r="T433" s="12">
        <v>1</v>
      </c>
    </row>
    <row r="434" spans="1:20" x14ac:dyDescent="0.25">
      <c r="A434" s="12">
        <v>336</v>
      </c>
      <c r="B434" s="11">
        <v>42283</v>
      </c>
      <c r="D434" s="11">
        <v>42284</v>
      </c>
      <c r="H434" s="12">
        <v>15</v>
      </c>
      <c r="I434" s="12">
        <v>33.045839999999998</v>
      </c>
      <c r="J434" s="12">
        <v>91.044799999999995</v>
      </c>
      <c r="K434" s="12">
        <v>22.2</v>
      </c>
      <c r="O434" s="12">
        <v>5</v>
      </c>
      <c r="Q434" s="12">
        <v>1410</v>
      </c>
      <c r="R434" s="12">
        <v>217</v>
      </c>
      <c r="S434" s="12">
        <v>21</v>
      </c>
      <c r="T434" s="12">
        <v>1</v>
      </c>
    </row>
    <row r="435" spans="1:20" x14ac:dyDescent="0.25">
      <c r="A435" s="12">
        <v>336</v>
      </c>
      <c r="B435" s="11">
        <v>42283</v>
      </c>
      <c r="D435" s="11">
        <v>42284</v>
      </c>
      <c r="H435" s="12">
        <v>15</v>
      </c>
      <c r="I435" s="12">
        <v>33.045839999999998</v>
      </c>
      <c r="J435" s="12">
        <v>91.044799999999995</v>
      </c>
      <c r="K435" s="12">
        <v>22.2</v>
      </c>
      <c r="O435" s="12">
        <v>5</v>
      </c>
      <c r="Q435" s="12">
        <v>1409</v>
      </c>
      <c r="R435" s="12">
        <v>232</v>
      </c>
      <c r="S435" s="12">
        <v>23</v>
      </c>
      <c r="T435" s="12">
        <v>1</v>
      </c>
    </row>
    <row r="436" spans="1:20" x14ac:dyDescent="0.25">
      <c r="A436" s="12">
        <v>336</v>
      </c>
      <c r="B436" s="11">
        <v>42283</v>
      </c>
      <c r="D436" s="11">
        <v>42284</v>
      </c>
      <c r="H436" s="12">
        <v>15</v>
      </c>
      <c r="I436" s="12">
        <v>33.045839999999998</v>
      </c>
      <c r="J436" s="12">
        <v>91.044799999999995</v>
      </c>
      <c r="K436" s="12">
        <v>22.2</v>
      </c>
      <c r="O436" s="12">
        <v>5</v>
      </c>
      <c r="Q436" s="12">
        <v>311</v>
      </c>
      <c r="R436" s="12">
        <v>172</v>
      </c>
      <c r="S436" s="12">
        <v>17</v>
      </c>
      <c r="T436" s="12">
        <v>1</v>
      </c>
    </row>
    <row r="437" spans="1:20" x14ac:dyDescent="0.25">
      <c r="A437" s="12">
        <v>336</v>
      </c>
      <c r="B437" s="11">
        <v>42283</v>
      </c>
      <c r="D437" s="11">
        <v>42284</v>
      </c>
      <c r="H437" s="12">
        <v>15</v>
      </c>
      <c r="I437" s="12">
        <v>33.045839999999998</v>
      </c>
      <c r="J437" s="12">
        <v>91.044799999999995</v>
      </c>
      <c r="K437" s="12">
        <v>22.2</v>
      </c>
      <c r="O437" s="12">
        <v>5</v>
      </c>
      <c r="Q437" s="12">
        <v>311</v>
      </c>
      <c r="R437" s="12">
        <v>331</v>
      </c>
      <c r="S437" s="12">
        <v>33</v>
      </c>
      <c r="T437" s="12">
        <v>1</v>
      </c>
    </row>
    <row r="438" spans="1:20" x14ac:dyDescent="0.25">
      <c r="A438" s="12">
        <v>336</v>
      </c>
      <c r="B438" s="11">
        <v>42283</v>
      </c>
      <c r="D438" s="11">
        <v>42284</v>
      </c>
      <c r="H438" s="12">
        <v>16</v>
      </c>
      <c r="I438" s="12">
        <v>33.04665</v>
      </c>
      <c r="J438" s="12">
        <v>91.046570000000003</v>
      </c>
      <c r="K438" s="12">
        <v>22.3</v>
      </c>
      <c r="O438" s="12">
        <v>5</v>
      </c>
      <c r="Q438" s="12">
        <v>216</v>
      </c>
      <c r="R438" s="12">
        <v>781</v>
      </c>
      <c r="S438" s="12">
        <v>78</v>
      </c>
      <c r="T438" s="12">
        <v>1</v>
      </c>
    </row>
    <row r="439" spans="1:20" x14ac:dyDescent="0.25">
      <c r="A439" s="12">
        <v>336</v>
      </c>
      <c r="B439" s="11">
        <v>42283</v>
      </c>
      <c r="D439" s="11">
        <v>42284</v>
      </c>
      <c r="H439" s="12">
        <v>16</v>
      </c>
      <c r="I439" s="12">
        <v>33.04665</v>
      </c>
      <c r="J439" s="12">
        <v>91.046570000000003</v>
      </c>
      <c r="K439" s="12">
        <v>22.3</v>
      </c>
      <c r="O439" s="12">
        <v>5</v>
      </c>
      <c r="Q439" s="12">
        <v>216</v>
      </c>
      <c r="R439" s="12">
        <v>584</v>
      </c>
      <c r="S439" s="12">
        <v>58</v>
      </c>
      <c r="T439" s="12">
        <v>1</v>
      </c>
    </row>
    <row r="440" spans="1:20" x14ac:dyDescent="0.25">
      <c r="A440" s="12">
        <v>336</v>
      </c>
      <c r="B440" s="11">
        <v>42283</v>
      </c>
      <c r="D440" s="11">
        <v>42284</v>
      </c>
      <c r="H440" s="12">
        <v>16</v>
      </c>
      <c r="I440" s="12">
        <v>33.04665</v>
      </c>
      <c r="J440" s="12">
        <v>91.046570000000003</v>
      </c>
      <c r="K440" s="12">
        <v>22.3</v>
      </c>
      <c r="O440" s="12">
        <v>5</v>
      </c>
      <c r="Q440" s="12">
        <v>1410</v>
      </c>
      <c r="R440" s="12">
        <v>251</v>
      </c>
      <c r="S440" s="12">
        <v>25</v>
      </c>
      <c r="T440" s="12">
        <v>1</v>
      </c>
    </row>
    <row r="441" spans="1:20" x14ac:dyDescent="0.25">
      <c r="A441" s="12">
        <v>336</v>
      </c>
      <c r="B441" s="11">
        <v>42283</v>
      </c>
      <c r="D441" s="11">
        <v>42284</v>
      </c>
      <c r="H441" s="12">
        <v>16</v>
      </c>
      <c r="I441" s="12">
        <v>33.04665</v>
      </c>
      <c r="J441" s="12">
        <v>91.046570000000003</v>
      </c>
      <c r="K441" s="12">
        <v>22.3</v>
      </c>
      <c r="O441" s="12">
        <v>5</v>
      </c>
      <c r="Q441" s="12">
        <v>1410</v>
      </c>
      <c r="R441" s="12">
        <v>235</v>
      </c>
      <c r="S441" s="12">
        <v>23</v>
      </c>
      <c r="T441" s="12">
        <v>1</v>
      </c>
    </row>
    <row r="442" spans="1:20" x14ac:dyDescent="0.25">
      <c r="A442" s="12">
        <v>336</v>
      </c>
      <c r="B442" s="11">
        <v>42283</v>
      </c>
      <c r="D442" s="11">
        <v>42284</v>
      </c>
      <c r="H442" s="12">
        <v>16</v>
      </c>
      <c r="I442" s="12">
        <v>33.04665</v>
      </c>
      <c r="J442" s="12">
        <v>91.046570000000003</v>
      </c>
      <c r="K442" s="12">
        <v>22.3</v>
      </c>
      <c r="O442" s="12">
        <v>5</v>
      </c>
      <c r="Q442" s="12">
        <v>1410</v>
      </c>
      <c r="R442" s="12">
        <v>237</v>
      </c>
      <c r="S442" s="12">
        <v>23</v>
      </c>
      <c r="T442" s="12">
        <v>1</v>
      </c>
    </row>
    <row r="443" spans="1:20" x14ac:dyDescent="0.25">
      <c r="A443" s="12">
        <v>336</v>
      </c>
      <c r="B443" s="11">
        <v>42283</v>
      </c>
      <c r="D443" s="11">
        <v>42284</v>
      </c>
      <c r="H443" s="12">
        <v>16</v>
      </c>
      <c r="I443" s="12">
        <v>33.04665</v>
      </c>
      <c r="J443" s="12">
        <v>91.046570000000003</v>
      </c>
      <c r="K443" s="12">
        <v>22.3</v>
      </c>
      <c r="O443" s="12">
        <v>5</v>
      </c>
      <c r="Q443" s="12">
        <v>1410</v>
      </c>
      <c r="R443" s="12">
        <v>246</v>
      </c>
      <c r="S443" s="12">
        <v>24</v>
      </c>
      <c r="T443" s="12">
        <v>1</v>
      </c>
    </row>
    <row r="444" spans="1:20" x14ac:dyDescent="0.25">
      <c r="A444" s="12">
        <v>336</v>
      </c>
      <c r="B444" s="11">
        <v>42283</v>
      </c>
      <c r="D444" s="11">
        <v>42284</v>
      </c>
      <c r="H444" s="12">
        <v>16</v>
      </c>
      <c r="I444" s="12">
        <v>33.04665</v>
      </c>
      <c r="J444" s="12">
        <v>91.046570000000003</v>
      </c>
      <c r="K444" s="12">
        <v>22.3</v>
      </c>
      <c r="O444" s="12">
        <v>5</v>
      </c>
      <c r="Q444" s="12">
        <v>1410</v>
      </c>
      <c r="R444" s="12">
        <v>258</v>
      </c>
      <c r="S444" s="12">
        <v>25</v>
      </c>
      <c r="T444" s="12">
        <v>1</v>
      </c>
    </row>
    <row r="445" spans="1:20" x14ac:dyDescent="0.25">
      <c r="A445" s="12">
        <v>336</v>
      </c>
      <c r="B445" s="11">
        <v>42283</v>
      </c>
      <c r="D445" s="11">
        <v>42284</v>
      </c>
      <c r="H445" s="12">
        <v>16</v>
      </c>
      <c r="I445" s="12">
        <v>33.04665</v>
      </c>
      <c r="J445" s="12">
        <v>91.046570000000003</v>
      </c>
      <c r="K445" s="12">
        <v>22.3</v>
      </c>
      <c r="O445" s="12">
        <v>5</v>
      </c>
      <c r="Q445" s="12">
        <v>1410</v>
      </c>
      <c r="R445" s="12">
        <v>212</v>
      </c>
      <c r="S445" s="12">
        <v>21</v>
      </c>
      <c r="T445" s="12">
        <v>1</v>
      </c>
    </row>
    <row r="446" spans="1:20" x14ac:dyDescent="0.25">
      <c r="A446" s="12">
        <v>336</v>
      </c>
      <c r="B446" s="11">
        <v>42283</v>
      </c>
      <c r="D446" s="11">
        <v>42284</v>
      </c>
      <c r="H446" s="12">
        <v>16</v>
      </c>
      <c r="I446" s="12">
        <v>33.04665</v>
      </c>
      <c r="J446" s="12">
        <v>91.046570000000003</v>
      </c>
      <c r="K446" s="12">
        <v>22.3</v>
      </c>
      <c r="O446" s="12">
        <v>5</v>
      </c>
      <c r="Q446" s="12">
        <v>1410</v>
      </c>
      <c r="R446" s="12">
        <v>290</v>
      </c>
      <c r="S446" s="12">
        <v>29</v>
      </c>
      <c r="T446" s="12">
        <v>1</v>
      </c>
    </row>
    <row r="447" spans="1:20" x14ac:dyDescent="0.25">
      <c r="A447" s="12">
        <v>336</v>
      </c>
      <c r="B447" s="11">
        <v>42283</v>
      </c>
      <c r="D447" s="11">
        <v>42284</v>
      </c>
      <c r="H447" s="12">
        <v>16</v>
      </c>
      <c r="I447" s="12">
        <v>33.04665</v>
      </c>
      <c r="J447" s="12">
        <v>91.046570000000003</v>
      </c>
      <c r="K447" s="12">
        <v>22.3</v>
      </c>
      <c r="O447" s="12">
        <v>5</v>
      </c>
      <c r="Q447" s="12">
        <v>1410</v>
      </c>
      <c r="R447" s="12">
        <v>140</v>
      </c>
      <c r="S447" s="12">
        <v>14</v>
      </c>
      <c r="T447" s="12">
        <v>1</v>
      </c>
    </row>
    <row r="448" spans="1:20" x14ac:dyDescent="0.25">
      <c r="A448" s="12">
        <v>336</v>
      </c>
      <c r="B448" s="11">
        <v>42283</v>
      </c>
      <c r="D448" s="11">
        <v>42284</v>
      </c>
      <c r="H448" s="12">
        <v>16</v>
      </c>
      <c r="I448" s="12">
        <v>33.04665</v>
      </c>
      <c r="J448" s="12">
        <v>91.046570000000003</v>
      </c>
      <c r="K448" s="12">
        <v>22.3</v>
      </c>
      <c r="O448" s="12">
        <v>5</v>
      </c>
      <c r="Q448" s="12">
        <v>1410</v>
      </c>
      <c r="R448" s="12">
        <v>255</v>
      </c>
      <c r="S448" s="12">
        <v>25</v>
      </c>
      <c r="T448" s="12">
        <v>1</v>
      </c>
    </row>
    <row r="449" spans="1:20" x14ac:dyDescent="0.25">
      <c r="A449" s="12">
        <v>336</v>
      </c>
      <c r="B449" s="11">
        <v>42283</v>
      </c>
      <c r="D449" s="11">
        <v>42284</v>
      </c>
      <c r="H449" s="12">
        <v>16</v>
      </c>
      <c r="I449" s="12">
        <v>33.04665</v>
      </c>
      <c r="J449" s="12">
        <v>91.046570000000003</v>
      </c>
      <c r="K449" s="12">
        <v>22.3</v>
      </c>
      <c r="O449" s="12">
        <v>5</v>
      </c>
      <c r="Q449" s="12">
        <v>1410</v>
      </c>
      <c r="R449" s="12">
        <v>255</v>
      </c>
      <c r="S449" s="12">
        <v>25</v>
      </c>
      <c r="T449" s="12">
        <v>1</v>
      </c>
    </row>
    <row r="450" spans="1:20" x14ac:dyDescent="0.25">
      <c r="A450" s="12">
        <v>336</v>
      </c>
      <c r="B450" s="11">
        <v>42283</v>
      </c>
      <c r="D450" s="11">
        <v>42284</v>
      </c>
      <c r="H450" s="12">
        <v>16</v>
      </c>
      <c r="I450" s="12">
        <v>33.04665</v>
      </c>
      <c r="J450" s="12">
        <v>91.046570000000003</v>
      </c>
      <c r="K450" s="12">
        <v>22.3</v>
      </c>
      <c r="O450" s="12">
        <v>5</v>
      </c>
      <c r="Q450" s="12">
        <v>1410</v>
      </c>
      <c r="R450" s="12">
        <v>191</v>
      </c>
      <c r="S450" s="12">
        <v>19</v>
      </c>
      <c r="T450" s="12">
        <v>1</v>
      </c>
    </row>
    <row r="451" spans="1:20" x14ac:dyDescent="0.25">
      <c r="A451" s="12">
        <v>336</v>
      </c>
      <c r="B451" s="11">
        <v>42283</v>
      </c>
      <c r="D451" s="11">
        <v>42284</v>
      </c>
      <c r="H451" s="12">
        <v>16</v>
      </c>
      <c r="I451" s="12">
        <v>33.04665</v>
      </c>
      <c r="J451" s="12">
        <v>91.046570000000003</v>
      </c>
      <c r="K451" s="12">
        <v>22.3</v>
      </c>
      <c r="O451" s="12">
        <v>5</v>
      </c>
      <c r="Q451" s="12">
        <v>1410</v>
      </c>
      <c r="R451" s="12">
        <v>300</v>
      </c>
      <c r="S451" s="12">
        <v>30</v>
      </c>
      <c r="T451" s="12">
        <v>1</v>
      </c>
    </row>
    <row r="452" spans="1:20" x14ac:dyDescent="0.25">
      <c r="A452" s="12">
        <v>336</v>
      </c>
      <c r="B452" s="11">
        <v>42283</v>
      </c>
      <c r="D452" s="11">
        <v>42284</v>
      </c>
      <c r="H452" s="12">
        <v>16</v>
      </c>
      <c r="I452" s="12">
        <v>33.04665</v>
      </c>
      <c r="J452" s="12">
        <v>91.046570000000003</v>
      </c>
      <c r="K452" s="12">
        <v>22.3</v>
      </c>
      <c r="O452" s="12">
        <v>5</v>
      </c>
      <c r="Q452" s="12">
        <v>1410</v>
      </c>
      <c r="R452" s="12">
        <v>202</v>
      </c>
      <c r="S452" s="12">
        <v>20</v>
      </c>
      <c r="T452" s="12">
        <v>1</v>
      </c>
    </row>
    <row r="453" spans="1:20" x14ac:dyDescent="0.25">
      <c r="A453" s="12">
        <v>336</v>
      </c>
      <c r="B453" s="11">
        <v>42283</v>
      </c>
      <c r="D453" s="11">
        <v>42284</v>
      </c>
      <c r="H453" s="12">
        <v>16</v>
      </c>
      <c r="I453" s="12">
        <v>33.04665</v>
      </c>
      <c r="J453" s="12">
        <v>91.046570000000003</v>
      </c>
      <c r="K453" s="12">
        <v>22.3</v>
      </c>
      <c r="O453" s="12">
        <v>5</v>
      </c>
      <c r="Q453" s="12">
        <v>1410</v>
      </c>
      <c r="R453" s="12">
        <v>278</v>
      </c>
      <c r="S453" s="12">
        <v>27</v>
      </c>
      <c r="T453" s="12">
        <v>1</v>
      </c>
    </row>
    <row r="454" spans="1:20" x14ac:dyDescent="0.25">
      <c r="A454" s="12">
        <v>336</v>
      </c>
      <c r="B454" s="11">
        <v>42283</v>
      </c>
      <c r="D454" s="11">
        <v>42284</v>
      </c>
      <c r="H454" s="12">
        <v>16</v>
      </c>
      <c r="I454" s="12">
        <v>33.04665</v>
      </c>
      <c r="J454" s="12">
        <v>91.046570000000003</v>
      </c>
      <c r="K454" s="12">
        <v>22.3</v>
      </c>
      <c r="O454" s="12">
        <v>5</v>
      </c>
      <c r="Q454" s="12">
        <v>1410</v>
      </c>
      <c r="R454" s="12">
        <v>229</v>
      </c>
      <c r="S454" s="12">
        <v>22</v>
      </c>
      <c r="T454" s="12">
        <v>1</v>
      </c>
    </row>
    <row r="455" spans="1:20" x14ac:dyDescent="0.25">
      <c r="A455" s="12">
        <v>336</v>
      </c>
      <c r="B455" s="11">
        <v>42283</v>
      </c>
      <c r="D455" s="11">
        <v>42284</v>
      </c>
      <c r="H455" s="12">
        <v>16</v>
      </c>
      <c r="I455" s="12">
        <v>33.04665</v>
      </c>
      <c r="J455" s="12">
        <v>91.046570000000003</v>
      </c>
      <c r="K455" s="12">
        <v>22.3</v>
      </c>
      <c r="O455" s="12">
        <v>5</v>
      </c>
      <c r="Q455" s="12">
        <v>1410</v>
      </c>
      <c r="R455" s="12">
        <v>215</v>
      </c>
      <c r="S455" s="12">
        <v>21</v>
      </c>
      <c r="T455" s="12">
        <v>1</v>
      </c>
    </row>
    <row r="456" spans="1:20" x14ac:dyDescent="0.25">
      <c r="A456" s="12">
        <v>336</v>
      </c>
      <c r="B456" s="11">
        <v>42283</v>
      </c>
      <c r="D456" s="11">
        <v>42284</v>
      </c>
      <c r="H456" s="12">
        <v>16</v>
      </c>
      <c r="I456" s="12">
        <v>33.04665</v>
      </c>
      <c r="J456" s="12">
        <v>91.046570000000003</v>
      </c>
      <c r="K456" s="12">
        <v>22.3</v>
      </c>
      <c r="O456" s="12">
        <v>5</v>
      </c>
      <c r="Q456" s="12">
        <v>1410</v>
      </c>
      <c r="R456" s="12">
        <v>245</v>
      </c>
      <c r="S456" s="12">
        <v>24</v>
      </c>
      <c r="T456" s="12">
        <v>1</v>
      </c>
    </row>
    <row r="457" spans="1:20" x14ac:dyDescent="0.25">
      <c r="A457" s="12">
        <v>336</v>
      </c>
      <c r="B457" s="11">
        <v>42283</v>
      </c>
      <c r="D457" s="11">
        <v>42284</v>
      </c>
      <c r="H457" s="12">
        <v>16</v>
      </c>
      <c r="I457" s="12">
        <v>33.04665</v>
      </c>
      <c r="J457" s="12">
        <v>91.046570000000003</v>
      </c>
      <c r="K457" s="12">
        <v>22.3</v>
      </c>
      <c r="O457" s="12">
        <v>5</v>
      </c>
      <c r="Q457" s="12">
        <v>1410</v>
      </c>
      <c r="R457" s="12">
        <v>201</v>
      </c>
      <c r="S457" s="12">
        <v>20</v>
      </c>
      <c r="T457" s="12">
        <v>1</v>
      </c>
    </row>
    <row r="458" spans="1:20" x14ac:dyDescent="0.25">
      <c r="A458" s="12">
        <v>336</v>
      </c>
      <c r="B458" s="11">
        <v>42283</v>
      </c>
      <c r="D458" s="11">
        <v>42284</v>
      </c>
      <c r="H458" s="12">
        <v>16</v>
      </c>
      <c r="I458" s="12">
        <v>33.04665</v>
      </c>
      <c r="J458" s="12">
        <v>91.046570000000003</v>
      </c>
      <c r="K458" s="12">
        <v>22.3</v>
      </c>
      <c r="O458" s="12">
        <v>5</v>
      </c>
      <c r="Q458" s="12">
        <v>1410</v>
      </c>
      <c r="R458" s="12">
        <v>174</v>
      </c>
      <c r="S458" s="12">
        <v>17</v>
      </c>
      <c r="T458" s="12">
        <v>1</v>
      </c>
    </row>
    <row r="459" spans="1:20" x14ac:dyDescent="0.25">
      <c r="A459" s="12">
        <v>336</v>
      </c>
      <c r="B459" s="11">
        <v>42283</v>
      </c>
      <c r="D459" s="11">
        <v>42284</v>
      </c>
      <c r="H459" s="12">
        <v>16</v>
      </c>
      <c r="I459" s="12">
        <v>33.04665</v>
      </c>
      <c r="J459" s="12">
        <v>91.046570000000003</v>
      </c>
      <c r="K459" s="12">
        <v>22.3</v>
      </c>
      <c r="O459" s="12">
        <v>5</v>
      </c>
      <c r="Q459" s="12">
        <v>1410</v>
      </c>
      <c r="R459" s="12">
        <v>191</v>
      </c>
      <c r="S459" s="12">
        <v>19</v>
      </c>
      <c r="T459" s="12">
        <v>1</v>
      </c>
    </row>
    <row r="460" spans="1:20" x14ac:dyDescent="0.25">
      <c r="A460" s="12">
        <v>336</v>
      </c>
      <c r="B460" s="11">
        <v>42283</v>
      </c>
      <c r="D460" s="11">
        <v>42284</v>
      </c>
      <c r="H460" s="12">
        <v>16</v>
      </c>
      <c r="I460" s="12">
        <v>33.04665</v>
      </c>
      <c r="J460" s="12">
        <v>91.046570000000003</v>
      </c>
      <c r="K460" s="12">
        <v>22.3</v>
      </c>
      <c r="O460" s="12">
        <v>5</v>
      </c>
      <c r="Q460" s="12">
        <v>1410</v>
      </c>
      <c r="R460" s="12">
        <v>195</v>
      </c>
      <c r="S460" s="12">
        <v>19</v>
      </c>
      <c r="T460" s="12">
        <v>1</v>
      </c>
    </row>
    <row r="461" spans="1:20" x14ac:dyDescent="0.25">
      <c r="A461" s="12">
        <v>336</v>
      </c>
      <c r="B461" s="11">
        <v>42283</v>
      </c>
      <c r="D461" s="11">
        <v>42284</v>
      </c>
      <c r="H461" s="12">
        <v>16</v>
      </c>
      <c r="I461" s="12">
        <v>33.04665</v>
      </c>
      <c r="J461" s="12">
        <v>91.046570000000003</v>
      </c>
      <c r="K461" s="12">
        <v>22.3</v>
      </c>
      <c r="O461" s="12">
        <v>5</v>
      </c>
      <c r="Q461" s="12">
        <v>1410</v>
      </c>
      <c r="R461" s="12">
        <v>263</v>
      </c>
      <c r="S461" s="12">
        <v>26</v>
      </c>
      <c r="T461" s="12">
        <v>1</v>
      </c>
    </row>
    <row r="462" spans="1:20" x14ac:dyDescent="0.25">
      <c r="A462" s="12">
        <v>336</v>
      </c>
      <c r="B462" s="11">
        <v>42283</v>
      </c>
      <c r="D462" s="11">
        <v>42284</v>
      </c>
      <c r="H462" s="12">
        <v>16</v>
      </c>
      <c r="I462" s="12">
        <v>33.04665</v>
      </c>
      <c r="J462" s="12">
        <v>91.046570000000003</v>
      </c>
      <c r="K462" s="12">
        <v>22.3</v>
      </c>
      <c r="O462" s="12">
        <v>5</v>
      </c>
      <c r="Q462" s="12">
        <v>1410</v>
      </c>
      <c r="R462" s="12">
        <v>153</v>
      </c>
      <c r="S462" s="12">
        <v>15</v>
      </c>
      <c r="T462" s="12">
        <v>1</v>
      </c>
    </row>
    <row r="463" spans="1:20" x14ac:dyDescent="0.25">
      <c r="A463" s="12">
        <v>336</v>
      </c>
      <c r="B463" s="11">
        <v>42283</v>
      </c>
      <c r="D463" s="11">
        <v>42284</v>
      </c>
      <c r="H463" s="12">
        <v>16</v>
      </c>
      <c r="I463" s="12">
        <v>33.04665</v>
      </c>
      <c r="J463" s="12">
        <v>91.046570000000003</v>
      </c>
      <c r="K463" s="12">
        <v>22.3</v>
      </c>
      <c r="O463" s="12">
        <v>5</v>
      </c>
      <c r="Q463" s="12">
        <v>1410</v>
      </c>
      <c r="R463" s="12">
        <v>220</v>
      </c>
      <c r="S463" s="12">
        <v>22</v>
      </c>
      <c r="T463" s="12">
        <v>1</v>
      </c>
    </row>
    <row r="464" spans="1:20" x14ac:dyDescent="0.25">
      <c r="A464" s="12">
        <v>336</v>
      </c>
      <c r="B464" s="11">
        <v>42283</v>
      </c>
      <c r="D464" s="11">
        <v>42284</v>
      </c>
      <c r="H464" s="12">
        <v>16</v>
      </c>
      <c r="I464" s="12">
        <v>33.04665</v>
      </c>
      <c r="J464" s="12">
        <v>91.046570000000003</v>
      </c>
      <c r="K464" s="12">
        <v>22.3</v>
      </c>
      <c r="O464" s="12">
        <v>5</v>
      </c>
      <c r="Q464" s="12">
        <v>1410</v>
      </c>
      <c r="R464" s="12">
        <v>247</v>
      </c>
      <c r="S464" s="12">
        <v>24</v>
      </c>
      <c r="T464" s="12">
        <v>1</v>
      </c>
    </row>
    <row r="465" spans="1:20" x14ac:dyDescent="0.25">
      <c r="A465" s="12">
        <v>336</v>
      </c>
      <c r="B465" s="11">
        <v>42283</v>
      </c>
      <c r="D465" s="11">
        <v>42284</v>
      </c>
      <c r="H465" s="12">
        <v>16</v>
      </c>
      <c r="I465" s="12">
        <v>33.04665</v>
      </c>
      <c r="J465" s="12">
        <v>91.046570000000003</v>
      </c>
      <c r="K465" s="12">
        <v>22.3</v>
      </c>
      <c r="O465" s="12">
        <v>5</v>
      </c>
      <c r="Q465" s="12">
        <v>1410</v>
      </c>
      <c r="R465" s="12">
        <v>246</v>
      </c>
      <c r="S465" s="12">
        <v>24</v>
      </c>
      <c r="T465" s="12">
        <v>1</v>
      </c>
    </row>
    <row r="466" spans="1:20" x14ac:dyDescent="0.25">
      <c r="A466" s="12">
        <v>336</v>
      </c>
      <c r="B466" s="11">
        <v>42283</v>
      </c>
      <c r="D466" s="11">
        <v>42284</v>
      </c>
      <c r="H466" s="12">
        <v>16</v>
      </c>
      <c r="I466" s="12">
        <v>33.04665</v>
      </c>
      <c r="J466" s="12">
        <v>91.046570000000003</v>
      </c>
      <c r="K466" s="12">
        <v>22.3</v>
      </c>
      <c r="O466" s="12">
        <v>5</v>
      </c>
      <c r="Q466" s="12">
        <v>1410</v>
      </c>
      <c r="R466" s="12">
        <v>255</v>
      </c>
      <c r="S466" s="12">
        <v>25</v>
      </c>
      <c r="T466" s="12">
        <v>1</v>
      </c>
    </row>
    <row r="467" spans="1:20" x14ac:dyDescent="0.25">
      <c r="A467" s="12">
        <v>336</v>
      </c>
      <c r="B467" s="11">
        <v>42283</v>
      </c>
      <c r="D467" s="11">
        <v>42284</v>
      </c>
      <c r="H467" s="12">
        <v>16</v>
      </c>
      <c r="I467" s="12">
        <v>33.04665</v>
      </c>
      <c r="J467" s="12">
        <v>91.046570000000003</v>
      </c>
      <c r="K467" s="12">
        <v>22.3</v>
      </c>
      <c r="O467" s="12">
        <v>5</v>
      </c>
      <c r="Q467" s="12">
        <v>1410</v>
      </c>
      <c r="R467" s="12">
        <v>180</v>
      </c>
      <c r="S467" s="12">
        <v>18</v>
      </c>
      <c r="T467" s="12">
        <v>1</v>
      </c>
    </row>
    <row r="468" spans="1:20" x14ac:dyDescent="0.25">
      <c r="A468" s="12">
        <v>336</v>
      </c>
      <c r="B468" s="11">
        <v>42283</v>
      </c>
      <c r="D468" s="11">
        <v>42284</v>
      </c>
      <c r="H468" s="12">
        <v>16</v>
      </c>
      <c r="I468" s="12">
        <v>33.04665</v>
      </c>
      <c r="J468" s="12">
        <v>91.046570000000003</v>
      </c>
      <c r="K468" s="12">
        <v>22.3</v>
      </c>
      <c r="O468" s="12">
        <v>5</v>
      </c>
      <c r="Q468" s="12">
        <v>1410</v>
      </c>
      <c r="R468" s="12">
        <v>195</v>
      </c>
      <c r="S468" s="12">
        <v>19</v>
      </c>
      <c r="T468" s="12">
        <v>1</v>
      </c>
    </row>
    <row r="469" spans="1:20" x14ac:dyDescent="0.25">
      <c r="A469" s="12">
        <v>336</v>
      </c>
      <c r="B469" s="11">
        <v>42283</v>
      </c>
      <c r="D469" s="11">
        <v>42284</v>
      </c>
      <c r="H469" s="12">
        <v>16</v>
      </c>
      <c r="I469" s="12">
        <v>33.04665</v>
      </c>
      <c r="J469" s="12">
        <v>91.046570000000003</v>
      </c>
      <c r="K469" s="12">
        <v>22.3</v>
      </c>
      <c r="O469" s="12">
        <v>5</v>
      </c>
      <c r="Q469" s="12">
        <v>1410</v>
      </c>
      <c r="R469" s="12">
        <v>178</v>
      </c>
      <c r="S469" s="12">
        <v>17</v>
      </c>
      <c r="T469" s="12">
        <v>1</v>
      </c>
    </row>
    <row r="470" spans="1:20" x14ac:dyDescent="0.25">
      <c r="A470" s="12">
        <v>336</v>
      </c>
      <c r="B470" s="11">
        <v>42283</v>
      </c>
      <c r="D470" s="11">
        <v>42284</v>
      </c>
      <c r="H470" s="12">
        <v>16</v>
      </c>
      <c r="I470" s="12">
        <v>33.04665</v>
      </c>
      <c r="J470" s="12">
        <v>91.046570000000003</v>
      </c>
      <c r="K470" s="12">
        <v>22.3</v>
      </c>
      <c r="O470" s="12">
        <v>5</v>
      </c>
      <c r="Q470" s="12">
        <v>1410</v>
      </c>
      <c r="R470" s="12">
        <v>182</v>
      </c>
      <c r="S470" s="12">
        <v>18</v>
      </c>
      <c r="T470" s="12">
        <v>1</v>
      </c>
    </row>
    <row r="471" spans="1:20" x14ac:dyDescent="0.25">
      <c r="A471" s="12">
        <v>336</v>
      </c>
      <c r="B471" s="11">
        <v>42283</v>
      </c>
      <c r="D471" s="11">
        <v>42284</v>
      </c>
      <c r="H471" s="12">
        <v>16</v>
      </c>
      <c r="I471" s="12">
        <v>33.04665</v>
      </c>
      <c r="J471" s="12">
        <v>91.046570000000003</v>
      </c>
      <c r="K471" s="12">
        <v>22.3</v>
      </c>
      <c r="O471" s="12">
        <v>5</v>
      </c>
      <c r="Q471" s="12">
        <v>1410</v>
      </c>
      <c r="R471" s="12">
        <v>163</v>
      </c>
      <c r="S471" s="12">
        <v>16</v>
      </c>
      <c r="T471" s="12">
        <v>1</v>
      </c>
    </row>
    <row r="472" spans="1:20" x14ac:dyDescent="0.25">
      <c r="A472" s="12">
        <v>336</v>
      </c>
      <c r="B472" s="11">
        <v>42283</v>
      </c>
      <c r="D472" s="11">
        <v>42284</v>
      </c>
      <c r="H472" s="12">
        <v>16</v>
      </c>
      <c r="I472" s="12">
        <v>33.04665</v>
      </c>
      <c r="J472" s="12">
        <v>91.046570000000003</v>
      </c>
      <c r="K472" s="12">
        <v>22.3</v>
      </c>
      <c r="O472" s="12">
        <v>5</v>
      </c>
      <c r="Q472" s="12">
        <v>1410</v>
      </c>
      <c r="R472" s="12">
        <v>237</v>
      </c>
      <c r="S472" s="12">
        <v>23</v>
      </c>
      <c r="T472" s="12">
        <v>1</v>
      </c>
    </row>
    <row r="473" spans="1:20" x14ac:dyDescent="0.25">
      <c r="A473" s="12">
        <v>336</v>
      </c>
      <c r="B473" s="11">
        <v>42283</v>
      </c>
      <c r="D473" s="11">
        <v>42284</v>
      </c>
      <c r="H473" s="12">
        <v>16</v>
      </c>
      <c r="I473" s="12">
        <v>33.04665</v>
      </c>
      <c r="J473" s="12">
        <v>91.046570000000003</v>
      </c>
      <c r="K473" s="12">
        <v>22.3</v>
      </c>
      <c r="O473" s="12">
        <v>5</v>
      </c>
      <c r="Q473" s="12">
        <v>1410</v>
      </c>
      <c r="R473" s="12">
        <v>227</v>
      </c>
      <c r="S473" s="12">
        <v>22</v>
      </c>
      <c r="T473" s="12">
        <v>1</v>
      </c>
    </row>
    <row r="474" spans="1:20" x14ac:dyDescent="0.25">
      <c r="A474" s="12">
        <v>336</v>
      </c>
      <c r="B474" s="11">
        <v>42283</v>
      </c>
      <c r="D474" s="11">
        <v>42284</v>
      </c>
      <c r="H474" s="12">
        <v>16</v>
      </c>
      <c r="I474" s="12">
        <v>33.04665</v>
      </c>
      <c r="J474" s="12">
        <v>91.046570000000003</v>
      </c>
      <c r="K474" s="12">
        <v>22.3</v>
      </c>
      <c r="O474" s="12">
        <v>5</v>
      </c>
      <c r="Q474" s="12">
        <v>1410</v>
      </c>
      <c r="R474" s="12">
        <v>200</v>
      </c>
      <c r="S474" s="12">
        <v>20</v>
      </c>
      <c r="T474" s="12">
        <v>1</v>
      </c>
    </row>
    <row r="475" spans="1:20" x14ac:dyDescent="0.25">
      <c r="A475" s="12">
        <v>336</v>
      </c>
      <c r="B475" s="11">
        <v>42283</v>
      </c>
      <c r="D475" s="11">
        <v>42284</v>
      </c>
      <c r="H475" s="12">
        <v>16</v>
      </c>
      <c r="I475" s="12">
        <v>33.04665</v>
      </c>
      <c r="J475" s="12">
        <v>91.046570000000003</v>
      </c>
      <c r="K475" s="12">
        <v>22.3</v>
      </c>
      <c r="O475" s="12">
        <v>5</v>
      </c>
      <c r="Q475" s="12">
        <v>1410</v>
      </c>
      <c r="R475" s="12">
        <v>151</v>
      </c>
      <c r="S475" s="12">
        <v>15</v>
      </c>
      <c r="T475" s="12">
        <v>1</v>
      </c>
    </row>
    <row r="476" spans="1:20" x14ac:dyDescent="0.25">
      <c r="A476" s="12">
        <v>336</v>
      </c>
      <c r="B476" s="11">
        <v>42283</v>
      </c>
      <c r="D476" s="11">
        <v>42284</v>
      </c>
      <c r="H476" s="12">
        <v>16</v>
      </c>
      <c r="I476" s="12">
        <v>33.04665</v>
      </c>
      <c r="J476" s="12">
        <v>91.046570000000003</v>
      </c>
      <c r="K476" s="12">
        <v>22.3</v>
      </c>
      <c r="O476" s="12">
        <v>5</v>
      </c>
      <c r="Q476" s="12">
        <v>1397</v>
      </c>
      <c r="R476" s="12">
        <v>130</v>
      </c>
      <c r="S476" s="12">
        <v>13</v>
      </c>
      <c r="T476" s="12">
        <v>1</v>
      </c>
    </row>
    <row r="477" spans="1:20" x14ac:dyDescent="0.25">
      <c r="A477" s="12">
        <v>336</v>
      </c>
      <c r="B477" s="11">
        <v>42283</v>
      </c>
      <c r="D477" s="11">
        <v>42284</v>
      </c>
      <c r="H477" s="12">
        <v>16</v>
      </c>
      <c r="I477" s="12">
        <v>33.04665</v>
      </c>
      <c r="J477" s="12">
        <v>91.046570000000003</v>
      </c>
      <c r="K477" s="12">
        <v>22.3</v>
      </c>
      <c r="O477" s="12">
        <v>5</v>
      </c>
      <c r="Q477" s="12">
        <v>1397</v>
      </c>
      <c r="R477" s="12">
        <v>140</v>
      </c>
      <c r="S477" s="12">
        <v>14</v>
      </c>
      <c r="T477" s="12">
        <v>1</v>
      </c>
    </row>
    <row r="478" spans="1:20" x14ac:dyDescent="0.25">
      <c r="A478" s="12">
        <v>336</v>
      </c>
      <c r="B478" s="11">
        <v>42283</v>
      </c>
      <c r="D478" s="11">
        <v>42284</v>
      </c>
      <c r="H478" s="12">
        <v>16</v>
      </c>
      <c r="I478" s="12">
        <v>33.04665</v>
      </c>
      <c r="J478" s="12">
        <v>91.046570000000003</v>
      </c>
      <c r="K478" s="12">
        <v>22.3</v>
      </c>
      <c r="O478" s="12">
        <v>5</v>
      </c>
      <c r="Q478" s="12">
        <v>1410</v>
      </c>
      <c r="R478" s="12">
        <v>151</v>
      </c>
      <c r="S478" s="12">
        <v>15</v>
      </c>
      <c r="T478" s="12">
        <v>1</v>
      </c>
    </row>
    <row r="479" spans="1:20" x14ac:dyDescent="0.25">
      <c r="A479" s="12">
        <v>336</v>
      </c>
      <c r="B479" s="11">
        <v>42283</v>
      </c>
      <c r="D479" s="11">
        <v>42284</v>
      </c>
      <c r="H479" s="12">
        <v>16</v>
      </c>
      <c r="I479" s="12">
        <v>33.04665</v>
      </c>
      <c r="J479" s="12">
        <v>91.046570000000003</v>
      </c>
      <c r="K479" s="12">
        <v>22.3</v>
      </c>
      <c r="O479" s="12">
        <v>5</v>
      </c>
      <c r="Q479" s="12">
        <v>1410</v>
      </c>
      <c r="R479" s="12">
        <v>255</v>
      </c>
      <c r="S479" s="12">
        <v>25</v>
      </c>
      <c r="T479" s="12">
        <v>1</v>
      </c>
    </row>
    <row r="480" spans="1:20" x14ac:dyDescent="0.25">
      <c r="A480" s="12">
        <v>336</v>
      </c>
      <c r="B480" s="11">
        <v>42283</v>
      </c>
      <c r="D480" s="11">
        <v>42284</v>
      </c>
      <c r="H480" s="12">
        <v>16</v>
      </c>
      <c r="I480" s="12">
        <v>33.04665</v>
      </c>
      <c r="J480" s="12">
        <v>91.046570000000003</v>
      </c>
      <c r="K480" s="12">
        <v>22.3</v>
      </c>
      <c r="O480" s="12">
        <v>5</v>
      </c>
      <c r="Q480" s="12">
        <v>1410</v>
      </c>
      <c r="R480" s="12">
        <v>200</v>
      </c>
      <c r="S480" s="12">
        <v>20</v>
      </c>
      <c r="T480" s="12">
        <v>1</v>
      </c>
    </row>
    <row r="481" spans="1:20" x14ac:dyDescent="0.25">
      <c r="A481" s="12">
        <v>336</v>
      </c>
      <c r="B481" s="11">
        <v>42283</v>
      </c>
      <c r="D481" s="11">
        <v>42284</v>
      </c>
      <c r="H481" s="12">
        <v>16</v>
      </c>
      <c r="I481" s="12">
        <v>33.04665</v>
      </c>
      <c r="J481" s="12">
        <v>91.046570000000003</v>
      </c>
      <c r="K481" s="12">
        <v>22.3</v>
      </c>
      <c r="O481" s="12">
        <v>5</v>
      </c>
      <c r="Q481" s="12">
        <v>1410</v>
      </c>
      <c r="R481" s="12">
        <v>259</v>
      </c>
      <c r="S481" s="12">
        <v>25</v>
      </c>
      <c r="T481" s="12">
        <v>1</v>
      </c>
    </row>
    <row r="482" spans="1:20" x14ac:dyDescent="0.25">
      <c r="A482" s="12">
        <v>336</v>
      </c>
      <c r="B482" s="11">
        <v>42283</v>
      </c>
      <c r="D482" s="11">
        <v>42284</v>
      </c>
      <c r="H482" s="12">
        <v>16</v>
      </c>
      <c r="I482" s="12">
        <v>33.04665</v>
      </c>
      <c r="J482" s="12">
        <v>91.046570000000003</v>
      </c>
      <c r="K482" s="12">
        <v>22.3</v>
      </c>
      <c r="O482" s="12">
        <v>5</v>
      </c>
      <c r="Q482" s="12">
        <v>1410</v>
      </c>
      <c r="R482" s="12">
        <v>201</v>
      </c>
      <c r="S482" s="12">
        <v>20</v>
      </c>
      <c r="T482" s="12">
        <v>1</v>
      </c>
    </row>
    <row r="483" spans="1:20" x14ac:dyDescent="0.25">
      <c r="A483" s="12">
        <v>336</v>
      </c>
      <c r="B483" s="11">
        <v>42283</v>
      </c>
      <c r="D483" s="11">
        <v>42284</v>
      </c>
      <c r="H483" s="12">
        <v>16</v>
      </c>
      <c r="I483" s="12">
        <v>33.04665</v>
      </c>
      <c r="J483" s="12">
        <v>91.046570000000003</v>
      </c>
      <c r="K483" s="12">
        <v>22.3</v>
      </c>
      <c r="O483" s="12">
        <v>5</v>
      </c>
      <c r="Q483" s="12">
        <v>1410</v>
      </c>
      <c r="R483" s="12">
        <v>205</v>
      </c>
      <c r="S483" s="12">
        <v>20</v>
      </c>
      <c r="T483" s="12">
        <v>1</v>
      </c>
    </row>
    <row r="484" spans="1:20" x14ac:dyDescent="0.25">
      <c r="A484" s="12">
        <v>336</v>
      </c>
      <c r="B484" s="11">
        <v>42283</v>
      </c>
      <c r="D484" s="11">
        <v>42284</v>
      </c>
      <c r="H484" s="12">
        <v>16</v>
      </c>
      <c r="I484" s="12">
        <v>33.04665</v>
      </c>
      <c r="J484" s="12">
        <v>91.046570000000003</v>
      </c>
      <c r="K484" s="12">
        <v>22.3</v>
      </c>
      <c r="O484" s="12">
        <v>5</v>
      </c>
      <c r="Q484" s="12">
        <v>1410</v>
      </c>
      <c r="R484" s="12">
        <v>202</v>
      </c>
      <c r="S484" s="12">
        <v>20</v>
      </c>
      <c r="T484" s="12">
        <v>1</v>
      </c>
    </row>
    <row r="485" spans="1:20" x14ac:dyDescent="0.25">
      <c r="A485" s="12">
        <v>336</v>
      </c>
      <c r="B485" s="11">
        <v>42283</v>
      </c>
      <c r="D485" s="11">
        <v>42284</v>
      </c>
      <c r="H485" s="12">
        <v>16</v>
      </c>
      <c r="I485" s="12">
        <v>33.04665</v>
      </c>
      <c r="J485" s="12">
        <v>91.046570000000003</v>
      </c>
      <c r="K485" s="12">
        <v>22.3</v>
      </c>
      <c r="O485" s="12">
        <v>5</v>
      </c>
      <c r="Q485" s="12">
        <v>1410</v>
      </c>
      <c r="R485" s="12">
        <v>161</v>
      </c>
      <c r="S485" s="12">
        <v>16</v>
      </c>
      <c r="T485" s="12">
        <v>1</v>
      </c>
    </row>
    <row r="486" spans="1:20" x14ac:dyDescent="0.25">
      <c r="A486" s="12">
        <v>336</v>
      </c>
      <c r="B486" s="11">
        <v>42283</v>
      </c>
      <c r="D486" s="11">
        <v>42284</v>
      </c>
      <c r="H486" s="12">
        <v>16</v>
      </c>
      <c r="I486" s="12">
        <v>33.04665</v>
      </c>
      <c r="J486" s="12">
        <v>91.046570000000003</v>
      </c>
      <c r="K486" s="12">
        <v>22.3</v>
      </c>
      <c r="O486" s="12">
        <v>5</v>
      </c>
      <c r="Q486" s="12">
        <v>1410</v>
      </c>
      <c r="R486" s="12">
        <v>195</v>
      </c>
      <c r="S486" s="12">
        <v>19</v>
      </c>
      <c r="T486" s="12">
        <v>1</v>
      </c>
    </row>
    <row r="487" spans="1:20" x14ac:dyDescent="0.25">
      <c r="A487" s="12">
        <v>336</v>
      </c>
      <c r="B487" s="11">
        <v>42283</v>
      </c>
      <c r="D487" s="11">
        <v>42284</v>
      </c>
      <c r="H487" s="12">
        <v>17</v>
      </c>
      <c r="I487" s="12">
        <v>33.051250000000003</v>
      </c>
      <c r="J487" s="12">
        <v>91.043700000000001</v>
      </c>
      <c r="K487" s="12">
        <v>22.4</v>
      </c>
      <c r="O487" s="12">
        <v>3</v>
      </c>
      <c r="Q487" s="12">
        <v>1410</v>
      </c>
      <c r="R487" s="12">
        <v>290</v>
      </c>
      <c r="S487" s="12">
        <v>29</v>
      </c>
      <c r="T487" s="12">
        <v>1</v>
      </c>
    </row>
    <row r="488" spans="1:20" x14ac:dyDescent="0.25">
      <c r="A488" s="12">
        <v>336</v>
      </c>
      <c r="B488" s="11">
        <v>42283</v>
      </c>
      <c r="D488" s="11">
        <v>42284</v>
      </c>
      <c r="H488" s="12">
        <v>17</v>
      </c>
      <c r="I488" s="12">
        <v>33.051250000000003</v>
      </c>
      <c r="J488" s="12">
        <v>91.043700000000001</v>
      </c>
      <c r="K488" s="12">
        <v>22.4</v>
      </c>
      <c r="O488" s="12">
        <v>3</v>
      </c>
      <c r="Q488" s="12">
        <v>1410</v>
      </c>
      <c r="R488" s="12">
        <v>250</v>
      </c>
      <c r="S488" s="12">
        <v>25</v>
      </c>
      <c r="T488" s="12">
        <v>1</v>
      </c>
    </row>
    <row r="489" spans="1:20" x14ac:dyDescent="0.25">
      <c r="A489" s="12">
        <v>336</v>
      </c>
      <c r="B489" s="11">
        <v>42283</v>
      </c>
      <c r="D489" s="11">
        <v>42284</v>
      </c>
      <c r="H489" s="12">
        <v>17</v>
      </c>
      <c r="I489" s="12">
        <v>33.051250000000003</v>
      </c>
      <c r="J489" s="12">
        <v>91.043700000000001</v>
      </c>
      <c r="K489" s="12">
        <v>22.4</v>
      </c>
      <c r="O489" s="12">
        <v>3</v>
      </c>
      <c r="Q489" s="12">
        <v>1410</v>
      </c>
      <c r="R489" s="12">
        <v>247</v>
      </c>
      <c r="S489" s="12">
        <v>24</v>
      </c>
      <c r="T489" s="12">
        <v>1</v>
      </c>
    </row>
    <row r="490" spans="1:20" x14ac:dyDescent="0.25">
      <c r="A490" s="12">
        <v>336</v>
      </c>
      <c r="B490" s="11">
        <v>42283</v>
      </c>
      <c r="D490" s="11">
        <v>42284</v>
      </c>
      <c r="H490" s="12">
        <v>17</v>
      </c>
      <c r="I490" s="12">
        <v>33.051250000000003</v>
      </c>
      <c r="J490" s="12">
        <v>91.043700000000001</v>
      </c>
      <c r="K490" s="12">
        <v>22.4</v>
      </c>
      <c r="O490" s="12">
        <v>3</v>
      </c>
      <c r="Q490" s="12">
        <v>1410</v>
      </c>
      <c r="R490" s="12">
        <v>230</v>
      </c>
      <c r="S490" s="12">
        <v>23</v>
      </c>
      <c r="T490" s="12">
        <v>1</v>
      </c>
    </row>
    <row r="491" spans="1:20" x14ac:dyDescent="0.25">
      <c r="A491" s="12">
        <v>336</v>
      </c>
      <c r="B491" s="11">
        <v>42283</v>
      </c>
      <c r="D491" s="11">
        <v>42284</v>
      </c>
      <c r="H491" s="12">
        <v>17</v>
      </c>
      <c r="I491" s="12">
        <v>33.051250000000003</v>
      </c>
      <c r="J491" s="12">
        <v>91.043700000000001</v>
      </c>
      <c r="K491" s="12">
        <v>22.4</v>
      </c>
      <c r="O491" s="12">
        <v>3</v>
      </c>
      <c r="Q491" s="12">
        <v>1409</v>
      </c>
      <c r="R491" s="12">
        <v>80</v>
      </c>
      <c r="S491" s="12">
        <v>8</v>
      </c>
      <c r="T491" s="12">
        <v>1</v>
      </c>
    </row>
    <row r="492" spans="1:20" x14ac:dyDescent="0.25">
      <c r="A492" s="12">
        <v>336</v>
      </c>
      <c r="B492" s="11">
        <v>42283</v>
      </c>
      <c r="D492" s="11">
        <v>42284</v>
      </c>
      <c r="H492" s="12">
        <v>17</v>
      </c>
      <c r="I492" s="12">
        <v>33.051250000000003</v>
      </c>
      <c r="J492" s="12">
        <v>91.043700000000001</v>
      </c>
      <c r="K492" s="12">
        <v>22.4</v>
      </c>
      <c r="O492" s="12">
        <v>3</v>
      </c>
      <c r="Q492" s="12">
        <v>1409</v>
      </c>
      <c r="R492" s="12">
        <v>313</v>
      </c>
      <c r="S492" s="12">
        <v>31</v>
      </c>
      <c r="T492" s="12">
        <v>1</v>
      </c>
    </row>
    <row r="493" spans="1:20" x14ac:dyDescent="0.25">
      <c r="A493" s="12">
        <v>336</v>
      </c>
      <c r="B493" s="11">
        <v>42283</v>
      </c>
      <c r="D493" s="11">
        <v>42284</v>
      </c>
      <c r="H493" s="12">
        <v>17</v>
      </c>
      <c r="I493" s="12">
        <v>33.051250000000003</v>
      </c>
      <c r="J493" s="12">
        <v>91.043700000000001</v>
      </c>
      <c r="K493" s="12">
        <v>22.4</v>
      </c>
      <c r="O493" s="12">
        <v>3</v>
      </c>
      <c r="Q493" s="12">
        <v>1409</v>
      </c>
      <c r="R493" s="12">
        <v>78</v>
      </c>
      <c r="S493" s="12">
        <v>7</v>
      </c>
      <c r="T493" s="12">
        <v>1</v>
      </c>
    </row>
    <row r="494" spans="1:20" x14ac:dyDescent="0.25">
      <c r="A494" s="12">
        <v>336</v>
      </c>
      <c r="B494" s="11">
        <v>42283</v>
      </c>
      <c r="D494" s="11">
        <v>42284</v>
      </c>
      <c r="H494" s="12">
        <v>17</v>
      </c>
      <c r="I494" s="12">
        <v>33.051250000000003</v>
      </c>
      <c r="J494" s="12">
        <v>91.043700000000001</v>
      </c>
      <c r="K494" s="12">
        <v>22.4</v>
      </c>
      <c r="O494" s="12">
        <v>3</v>
      </c>
      <c r="Q494" s="12">
        <v>1395</v>
      </c>
      <c r="R494" s="12">
        <v>192</v>
      </c>
      <c r="S494" s="12">
        <v>19</v>
      </c>
      <c r="T494" s="12">
        <v>1</v>
      </c>
    </row>
    <row r="495" spans="1:20" x14ac:dyDescent="0.25">
      <c r="A495" s="12">
        <v>336</v>
      </c>
      <c r="B495" s="11">
        <v>42283</v>
      </c>
      <c r="D495" s="11">
        <v>42284</v>
      </c>
      <c r="H495" s="12">
        <v>17</v>
      </c>
      <c r="I495" s="12">
        <v>33.051250000000003</v>
      </c>
      <c r="J495" s="12">
        <v>91.043700000000001</v>
      </c>
      <c r="K495" s="12">
        <v>22.4</v>
      </c>
      <c r="O495" s="12">
        <v>3</v>
      </c>
      <c r="Q495" s="12">
        <v>1395</v>
      </c>
      <c r="R495" s="12">
        <v>192</v>
      </c>
      <c r="S495" s="12">
        <v>19</v>
      </c>
      <c r="T495" s="12">
        <v>1</v>
      </c>
    </row>
    <row r="496" spans="1:20" x14ac:dyDescent="0.25">
      <c r="A496" s="12">
        <v>336</v>
      </c>
      <c r="B496" s="11">
        <v>42283</v>
      </c>
      <c r="D496" s="11">
        <v>42284</v>
      </c>
      <c r="H496" s="12">
        <v>18</v>
      </c>
      <c r="I496" s="12">
        <v>33.06109</v>
      </c>
      <c r="J496" s="12">
        <v>91.04786</v>
      </c>
      <c r="K496" s="12">
        <v>22.6</v>
      </c>
      <c r="O496" s="12">
        <v>3</v>
      </c>
      <c r="Q496" s="12">
        <v>910</v>
      </c>
      <c r="R496" s="12">
        <v>501</v>
      </c>
      <c r="S496" s="12">
        <v>50</v>
      </c>
      <c r="T496" s="12">
        <v>1</v>
      </c>
    </row>
    <row r="497" spans="1:20" x14ac:dyDescent="0.25">
      <c r="A497" s="12">
        <v>336</v>
      </c>
      <c r="B497" s="11">
        <v>42283</v>
      </c>
      <c r="D497" s="11">
        <v>42284</v>
      </c>
      <c r="H497" s="12">
        <v>18</v>
      </c>
      <c r="I497" s="12">
        <v>33.06109</v>
      </c>
      <c r="J497" s="12">
        <v>91.04786</v>
      </c>
      <c r="K497" s="12">
        <v>22.6</v>
      </c>
      <c r="O497" s="12">
        <v>3</v>
      </c>
      <c r="Q497" s="12">
        <v>1397</v>
      </c>
      <c r="R497" s="12">
        <v>52</v>
      </c>
      <c r="S497" s="12">
        <v>5</v>
      </c>
      <c r="T497" s="12">
        <v>1</v>
      </c>
    </row>
    <row r="498" spans="1:20" x14ac:dyDescent="0.25">
      <c r="A498" s="12">
        <v>336</v>
      </c>
      <c r="B498" s="11">
        <v>42283</v>
      </c>
      <c r="D498" s="11">
        <v>42284</v>
      </c>
      <c r="H498" s="12">
        <v>18</v>
      </c>
      <c r="I498" s="12">
        <v>33.06109</v>
      </c>
      <c r="J498" s="12">
        <v>91.04786</v>
      </c>
      <c r="K498" s="12">
        <v>22.6</v>
      </c>
      <c r="O498" s="12">
        <v>3</v>
      </c>
      <c r="Q498" s="12">
        <v>1395</v>
      </c>
      <c r="R498" s="12">
        <v>177</v>
      </c>
      <c r="S498" s="12">
        <v>17</v>
      </c>
      <c r="T498" s="12">
        <v>1</v>
      </c>
    </row>
    <row r="499" spans="1:20" x14ac:dyDescent="0.25">
      <c r="A499" s="12">
        <v>336</v>
      </c>
      <c r="B499" s="11">
        <v>42283</v>
      </c>
      <c r="D499" s="11">
        <v>42284</v>
      </c>
      <c r="H499" s="12">
        <v>18</v>
      </c>
      <c r="I499" s="12">
        <v>33.06109</v>
      </c>
      <c r="J499" s="12">
        <v>91.04786</v>
      </c>
      <c r="K499" s="12">
        <v>22.6</v>
      </c>
      <c r="O499" s="12">
        <v>3</v>
      </c>
      <c r="Q499" s="12">
        <v>1410</v>
      </c>
      <c r="R499" s="12">
        <v>285</v>
      </c>
      <c r="S499" s="12">
        <v>28</v>
      </c>
      <c r="T499" s="12">
        <v>1</v>
      </c>
    </row>
    <row r="500" spans="1:20" x14ac:dyDescent="0.25">
      <c r="A500" s="12">
        <v>336</v>
      </c>
      <c r="B500" s="11">
        <v>42283</v>
      </c>
      <c r="D500" s="11">
        <v>42284</v>
      </c>
      <c r="H500" s="12">
        <v>18</v>
      </c>
      <c r="I500" s="12">
        <v>33.06109</v>
      </c>
      <c r="J500" s="12">
        <v>91.04786</v>
      </c>
      <c r="K500" s="12">
        <v>22.6</v>
      </c>
      <c r="O500" s="12">
        <v>3</v>
      </c>
      <c r="Q500" s="12">
        <v>1410</v>
      </c>
      <c r="R500" s="12">
        <v>256</v>
      </c>
      <c r="S500" s="12">
        <v>25</v>
      </c>
      <c r="T500" s="12">
        <v>1</v>
      </c>
    </row>
    <row r="501" spans="1:20" x14ac:dyDescent="0.25">
      <c r="A501" s="12">
        <v>336</v>
      </c>
      <c r="B501" s="11">
        <v>42283</v>
      </c>
      <c r="D501" s="11">
        <v>42284</v>
      </c>
      <c r="H501" s="12">
        <v>18</v>
      </c>
      <c r="I501" s="12">
        <v>33.06109</v>
      </c>
      <c r="J501" s="12">
        <v>91.04786</v>
      </c>
      <c r="K501" s="12">
        <v>22.6</v>
      </c>
      <c r="O501" s="12">
        <v>3</v>
      </c>
      <c r="Q501" s="12">
        <v>1410</v>
      </c>
      <c r="R501" s="12">
        <v>263</v>
      </c>
      <c r="S501" s="12">
        <v>26</v>
      </c>
      <c r="T501" s="12">
        <v>1</v>
      </c>
    </row>
    <row r="502" spans="1:20" x14ac:dyDescent="0.25">
      <c r="A502" s="12">
        <v>336</v>
      </c>
      <c r="B502" s="11">
        <v>42283</v>
      </c>
      <c r="D502" s="11">
        <v>42284</v>
      </c>
      <c r="H502" s="12">
        <v>18</v>
      </c>
      <c r="I502" s="12">
        <v>33.06109</v>
      </c>
      <c r="J502" s="12">
        <v>91.04786</v>
      </c>
      <c r="K502" s="12">
        <v>22.6</v>
      </c>
      <c r="O502" s="12">
        <v>3</v>
      </c>
      <c r="Q502" s="12">
        <v>1410</v>
      </c>
      <c r="R502" s="12">
        <v>250</v>
      </c>
      <c r="S502" s="12">
        <v>25</v>
      </c>
      <c r="T502" s="12">
        <v>1</v>
      </c>
    </row>
    <row r="503" spans="1:20" x14ac:dyDescent="0.25">
      <c r="A503" s="12">
        <v>336</v>
      </c>
      <c r="B503" s="11">
        <v>42283</v>
      </c>
      <c r="D503" s="11">
        <v>42284</v>
      </c>
      <c r="H503" s="12">
        <v>18</v>
      </c>
      <c r="I503" s="12">
        <v>33.06109</v>
      </c>
      <c r="J503" s="12">
        <v>91.04786</v>
      </c>
      <c r="K503" s="12">
        <v>22.6</v>
      </c>
      <c r="O503" s="12">
        <v>3</v>
      </c>
      <c r="Q503" s="12">
        <v>1410</v>
      </c>
      <c r="R503" s="12">
        <v>216</v>
      </c>
      <c r="S503" s="12">
        <v>21</v>
      </c>
      <c r="T503" s="12">
        <v>1</v>
      </c>
    </row>
    <row r="504" spans="1:20" x14ac:dyDescent="0.25">
      <c r="A504" s="12">
        <v>336</v>
      </c>
      <c r="B504" s="11">
        <v>42283</v>
      </c>
      <c r="D504" s="11">
        <v>42284</v>
      </c>
      <c r="H504" s="12">
        <v>18</v>
      </c>
      <c r="I504" s="12">
        <v>33.06109</v>
      </c>
      <c r="J504" s="12">
        <v>91.04786</v>
      </c>
      <c r="K504" s="12">
        <v>22.6</v>
      </c>
      <c r="O504" s="12">
        <v>3</v>
      </c>
      <c r="Q504" s="12">
        <v>1410</v>
      </c>
      <c r="R504" s="12">
        <v>206</v>
      </c>
      <c r="S504" s="12">
        <v>20</v>
      </c>
      <c r="T504" s="12">
        <v>1</v>
      </c>
    </row>
    <row r="505" spans="1:20" x14ac:dyDescent="0.25">
      <c r="A505" s="12">
        <v>336</v>
      </c>
      <c r="B505" s="11">
        <v>42283</v>
      </c>
      <c r="D505" s="11">
        <v>42284</v>
      </c>
      <c r="H505" s="12">
        <v>18</v>
      </c>
      <c r="I505" s="12">
        <v>33.06109</v>
      </c>
      <c r="J505" s="12">
        <v>91.04786</v>
      </c>
      <c r="K505" s="12">
        <v>22.6</v>
      </c>
      <c r="O505" s="12">
        <v>3</v>
      </c>
      <c r="Q505" s="12">
        <v>1410</v>
      </c>
      <c r="R505" s="12">
        <v>194</v>
      </c>
      <c r="S505" s="12">
        <v>19</v>
      </c>
      <c r="T505" s="12">
        <v>1</v>
      </c>
    </row>
    <row r="506" spans="1:20" x14ac:dyDescent="0.25">
      <c r="A506" s="12">
        <v>336</v>
      </c>
      <c r="B506" s="11">
        <v>42283</v>
      </c>
      <c r="D506" s="11">
        <v>42284</v>
      </c>
      <c r="H506" s="12">
        <v>18</v>
      </c>
      <c r="I506" s="12">
        <v>33.06109</v>
      </c>
      <c r="J506" s="12">
        <v>91.04786</v>
      </c>
      <c r="K506" s="12">
        <v>22.6</v>
      </c>
      <c r="O506" s="12">
        <v>3</v>
      </c>
      <c r="Q506" s="12">
        <v>1410</v>
      </c>
      <c r="R506" s="12">
        <v>214</v>
      </c>
      <c r="S506" s="12">
        <v>21</v>
      </c>
      <c r="T506" s="12">
        <v>1</v>
      </c>
    </row>
    <row r="507" spans="1:20" x14ac:dyDescent="0.25">
      <c r="A507" s="12">
        <v>336</v>
      </c>
      <c r="B507" s="11">
        <v>42283</v>
      </c>
      <c r="D507" s="11">
        <v>42284</v>
      </c>
      <c r="H507" s="12">
        <v>18</v>
      </c>
      <c r="I507" s="12">
        <v>33.06109</v>
      </c>
      <c r="J507" s="12">
        <v>91.04786</v>
      </c>
      <c r="K507" s="12">
        <v>22.6</v>
      </c>
      <c r="O507" s="12">
        <v>3</v>
      </c>
      <c r="Q507" s="12">
        <v>1410</v>
      </c>
      <c r="R507" s="12">
        <v>152</v>
      </c>
      <c r="S507" s="12">
        <v>15</v>
      </c>
      <c r="T507" s="12">
        <v>1</v>
      </c>
    </row>
    <row r="508" spans="1:20" x14ac:dyDescent="0.25">
      <c r="A508" s="12">
        <v>336</v>
      </c>
      <c r="B508" s="11">
        <v>42283</v>
      </c>
      <c r="D508" s="11">
        <v>42284</v>
      </c>
      <c r="H508" s="12">
        <v>18</v>
      </c>
      <c r="I508" s="12">
        <v>33.06109</v>
      </c>
      <c r="J508" s="12">
        <v>91.04786</v>
      </c>
      <c r="K508" s="12">
        <v>22.6</v>
      </c>
      <c r="O508" s="12">
        <v>3</v>
      </c>
      <c r="Q508" s="12">
        <v>1410</v>
      </c>
      <c r="R508" s="12">
        <v>189</v>
      </c>
      <c r="S508" s="12">
        <v>18</v>
      </c>
      <c r="T508" s="12">
        <v>1</v>
      </c>
    </row>
    <row r="509" spans="1:20" x14ac:dyDescent="0.25">
      <c r="A509" s="12">
        <v>336</v>
      </c>
      <c r="B509" s="11">
        <v>42283</v>
      </c>
      <c r="D509" s="11">
        <v>42284</v>
      </c>
      <c r="H509" s="12">
        <v>18</v>
      </c>
      <c r="I509" s="12">
        <v>33.06109</v>
      </c>
      <c r="J509" s="12">
        <v>91.04786</v>
      </c>
      <c r="K509" s="12">
        <v>22.6</v>
      </c>
      <c r="O509" s="12">
        <v>3</v>
      </c>
      <c r="Q509" s="12">
        <v>1410</v>
      </c>
      <c r="R509" s="12">
        <v>83</v>
      </c>
      <c r="S509" s="12">
        <v>8</v>
      </c>
      <c r="T509" s="12">
        <v>1</v>
      </c>
    </row>
    <row r="510" spans="1:20" x14ac:dyDescent="0.25">
      <c r="A510" s="12">
        <v>336</v>
      </c>
      <c r="B510" s="11">
        <v>42283</v>
      </c>
      <c r="D510" s="11">
        <v>42284</v>
      </c>
      <c r="H510" s="12">
        <v>18</v>
      </c>
      <c r="I510" s="12">
        <v>33.06109</v>
      </c>
      <c r="J510" s="12">
        <v>91.04786</v>
      </c>
      <c r="K510" s="12">
        <v>22.6</v>
      </c>
      <c r="O510" s="12">
        <v>3</v>
      </c>
      <c r="Q510" s="12">
        <v>1410</v>
      </c>
      <c r="R510" s="12">
        <v>163</v>
      </c>
      <c r="S510" s="12">
        <v>16</v>
      </c>
      <c r="T510" s="12">
        <v>1</v>
      </c>
    </row>
    <row r="511" spans="1:20" x14ac:dyDescent="0.25">
      <c r="A511" s="12">
        <v>336</v>
      </c>
      <c r="B511" s="11">
        <v>42283</v>
      </c>
      <c r="D511" s="11">
        <v>42284</v>
      </c>
      <c r="H511" s="12">
        <v>18</v>
      </c>
      <c r="I511" s="12">
        <v>33.06109</v>
      </c>
      <c r="J511" s="12">
        <v>91.04786</v>
      </c>
      <c r="K511" s="12">
        <v>22.6</v>
      </c>
      <c r="O511" s="12">
        <v>3</v>
      </c>
      <c r="Q511" s="12">
        <v>1410</v>
      </c>
      <c r="R511" s="12">
        <v>115</v>
      </c>
      <c r="S511" s="12">
        <v>11</v>
      </c>
      <c r="T511" s="12">
        <v>1</v>
      </c>
    </row>
    <row r="512" spans="1:20" x14ac:dyDescent="0.25">
      <c r="A512" s="12">
        <v>336</v>
      </c>
      <c r="B512" s="11">
        <v>42283</v>
      </c>
      <c r="D512" s="11">
        <v>42284</v>
      </c>
      <c r="H512" s="12">
        <v>18</v>
      </c>
      <c r="I512" s="12">
        <v>33.06109</v>
      </c>
      <c r="J512" s="12">
        <v>91.04786</v>
      </c>
      <c r="K512" s="12">
        <v>22.6</v>
      </c>
      <c r="O512" s="12">
        <v>3</v>
      </c>
      <c r="Q512" s="12">
        <v>1410</v>
      </c>
      <c r="R512" s="12">
        <v>158</v>
      </c>
      <c r="S512" s="12">
        <v>15</v>
      </c>
      <c r="T512" s="12">
        <v>1</v>
      </c>
    </row>
    <row r="513" spans="1:20" x14ac:dyDescent="0.25">
      <c r="A513" s="12">
        <v>336</v>
      </c>
      <c r="B513" s="11">
        <v>42283</v>
      </c>
      <c r="D513" s="11">
        <v>42284</v>
      </c>
      <c r="H513" s="12">
        <v>18</v>
      </c>
      <c r="I513" s="12">
        <v>33.06109</v>
      </c>
      <c r="J513" s="12">
        <v>91.04786</v>
      </c>
      <c r="K513" s="12">
        <v>22.6</v>
      </c>
      <c r="O513" s="12">
        <v>3</v>
      </c>
      <c r="Q513" s="12">
        <v>1410</v>
      </c>
      <c r="R513" s="12">
        <v>184</v>
      </c>
      <c r="S513" s="12">
        <v>18</v>
      </c>
      <c r="T513" s="12">
        <v>1</v>
      </c>
    </row>
    <row r="514" spans="1:20" x14ac:dyDescent="0.25">
      <c r="A514" s="12">
        <v>336</v>
      </c>
      <c r="B514" s="11">
        <v>42283</v>
      </c>
      <c r="D514" s="11">
        <v>42284</v>
      </c>
      <c r="H514" s="12">
        <v>18</v>
      </c>
      <c r="I514" s="12">
        <v>33.06109</v>
      </c>
      <c r="J514" s="12">
        <v>91.04786</v>
      </c>
      <c r="K514" s="12">
        <v>22.6</v>
      </c>
      <c r="O514" s="12">
        <v>3</v>
      </c>
      <c r="Q514" s="12">
        <v>1410</v>
      </c>
      <c r="R514" s="12">
        <v>165</v>
      </c>
      <c r="S514" s="12">
        <v>16</v>
      </c>
      <c r="T514" s="12">
        <v>1</v>
      </c>
    </row>
    <row r="515" spans="1:20" x14ac:dyDescent="0.25">
      <c r="A515" s="12">
        <v>336</v>
      </c>
      <c r="B515" s="11">
        <v>42283</v>
      </c>
      <c r="D515" s="11">
        <v>42284</v>
      </c>
      <c r="H515" s="12">
        <v>18</v>
      </c>
      <c r="I515" s="12">
        <v>33.06109</v>
      </c>
      <c r="J515" s="12">
        <v>91.04786</v>
      </c>
      <c r="K515" s="12">
        <v>22.6</v>
      </c>
      <c r="O515" s="12">
        <v>3</v>
      </c>
      <c r="Q515" s="12">
        <v>1410</v>
      </c>
      <c r="R515" s="12">
        <v>90</v>
      </c>
      <c r="S515" s="12">
        <v>9</v>
      </c>
      <c r="T515" s="12">
        <v>1</v>
      </c>
    </row>
    <row r="516" spans="1:20" x14ac:dyDescent="0.25">
      <c r="A516" s="12">
        <v>336</v>
      </c>
      <c r="B516" s="11">
        <v>42283</v>
      </c>
      <c r="D516" s="11">
        <v>42284</v>
      </c>
      <c r="H516" s="12">
        <v>18</v>
      </c>
      <c r="I516" s="12">
        <v>33.06109</v>
      </c>
      <c r="J516" s="12">
        <v>91.04786</v>
      </c>
      <c r="K516" s="12">
        <v>22.6</v>
      </c>
      <c r="O516" s="12">
        <v>3</v>
      </c>
      <c r="Q516" s="12">
        <v>1410</v>
      </c>
      <c r="R516" s="12">
        <v>115</v>
      </c>
      <c r="S516" s="12">
        <v>11</v>
      </c>
      <c r="T516" s="12">
        <v>1</v>
      </c>
    </row>
    <row r="517" spans="1:20" x14ac:dyDescent="0.25">
      <c r="A517" s="12">
        <v>336</v>
      </c>
      <c r="B517" s="11">
        <v>42283</v>
      </c>
      <c r="D517" s="11">
        <v>42284</v>
      </c>
      <c r="H517" s="12">
        <v>18</v>
      </c>
      <c r="I517" s="12">
        <v>33.06109</v>
      </c>
      <c r="J517" s="12">
        <v>91.04786</v>
      </c>
      <c r="K517" s="12">
        <v>22.6</v>
      </c>
      <c r="O517" s="12">
        <v>3</v>
      </c>
      <c r="Q517" s="12">
        <v>1410</v>
      </c>
      <c r="R517" s="12">
        <v>90</v>
      </c>
      <c r="S517" s="12">
        <v>9</v>
      </c>
      <c r="T517" s="12">
        <v>1</v>
      </c>
    </row>
    <row r="518" spans="1:20" x14ac:dyDescent="0.25">
      <c r="A518" s="12">
        <v>336</v>
      </c>
      <c r="B518" s="11">
        <v>42283</v>
      </c>
      <c r="D518" s="11">
        <v>42284</v>
      </c>
      <c r="H518" s="12">
        <v>18</v>
      </c>
      <c r="I518" s="12">
        <v>33.06109</v>
      </c>
      <c r="J518" s="12">
        <v>91.04786</v>
      </c>
      <c r="K518" s="12">
        <v>22.6</v>
      </c>
      <c r="O518" s="12">
        <v>3</v>
      </c>
      <c r="Q518" s="12">
        <v>1409</v>
      </c>
      <c r="R518" s="12">
        <v>191</v>
      </c>
      <c r="S518" s="12">
        <v>19</v>
      </c>
      <c r="T518" s="12">
        <v>1</v>
      </c>
    </row>
    <row r="519" spans="1:20" x14ac:dyDescent="0.25">
      <c r="A519" s="12">
        <v>336</v>
      </c>
      <c r="B519" s="11">
        <v>42283</v>
      </c>
      <c r="D519" s="11">
        <v>42284</v>
      </c>
      <c r="H519" s="12">
        <v>18</v>
      </c>
      <c r="I519" s="12">
        <v>33.06109</v>
      </c>
      <c r="J519" s="12">
        <v>91.04786</v>
      </c>
      <c r="K519" s="12">
        <v>22.6</v>
      </c>
      <c r="O519" s="12">
        <v>3</v>
      </c>
      <c r="Q519" s="12">
        <v>1409</v>
      </c>
      <c r="R519" s="12">
        <v>122</v>
      </c>
      <c r="S519" s="12">
        <v>12</v>
      </c>
      <c r="T519" s="12">
        <v>1</v>
      </c>
    </row>
    <row r="520" spans="1:20" x14ac:dyDescent="0.25">
      <c r="A520" s="12">
        <v>336</v>
      </c>
      <c r="B520" s="11">
        <v>42283</v>
      </c>
      <c r="D520" s="11">
        <v>42284</v>
      </c>
      <c r="H520" s="12">
        <v>18</v>
      </c>
      <c r="I520" s="12">
        <v>33.06109</v>
      </c>
      <c r="J520" s="12">
        <v>91.04786</v>
      </c>
      <c r="K520" s="12">
        <v>22.6</v>
      </c>
      <c r="O520" s="12">
        <v>3</v>
      </c>
      <c r="Q520" s="12">
        <v>1409</v>
      </c>
      <c r="R520" s="12">
        <v>112</v>
      </c>
      <c r="S520" s="12">
        <v>11</v>
      </c>
      <c r="T520" s="12">
        <v>1</v>
      </c>
    </row>
    <row r="521" spans="1:20" x14ac:dyDescent="0.25">
      <c r="A521" s="12">
        <v>336</v>
      </c>
      <c r="B521" s="11">
        <v>42283</v>
      </c>
      <c r="D521" s="11">
        <v>42284</v>
      </c>
      <c r="H521" s="12">
        <v>18</v>
      </c>
      <c r="I521" s="12">
        <v>33.06109</v>
      </c>
      <c r="J521" s="12">
        <v>91.04786</v>
      </c>
      <c r="K521" s="12">
        <v>22.6</v>
      </c>
      <c r="O521" s="12">
        <v>3</v>
      </c>
      <c r="Q521" s="12">
        <v>1410</v>
      </c>
      <c r="R521" s="12">
        <v>187</v>
      </c>
      <c r="S521" s="12">
        <v>18</v>
      </c>
      <c r="T521" s="12">
        <v>1</v>
      </c>
    </row>
    <row r="522" spans="1:20" x14ac:dyDescent="0.25">
      <c r="A522" s="12">
        <v>336</v>
      </c>
      <c r="B522" s="11">
        <v>42283</v>
      </c>
      <c r="D522" s="11">
        <v>42284</v>
      </c>
      <c r="H522" s="12">
        <v>18</v>
      </c>
      <c r="I522" s="12">
        <v>33.06109</v>
      </c>
      <c r="J522" s="12">
        <v>91.04786</v>
      </c>
      <c r="K522" s="12">
        <v>22.6</v>
      </c>
      <c r="O522" s="12">
        <v>3</v>
      </c>
      <c r="Q522" s="12">
        <v>1409</v>
      </c>
      <c r="R522" s="12">
        <v>67</v>
      </c>
      <c r="S522" s="12">
        <v>6</v>
      </c>
      <c r="T522" s="12">
        <v>1</v>
      </c>
    </row>
    <row r="523" spans="1:20" x14ac:dyDescent="0.25">
      <c r="A523" s="12">
        <v>336</v>
      </c>
      <c r="B523" s="11">
        <v>42283</v>
      </c>
      <c r="D523" s="11">
        <v>42284</v>
      </c>
      <c r="H523" s="12">
        <v>19</v>
      </c>
      <c r="I523" s="12">
        <v>33.067050000000002</v>
      </c>
      <c r="J523" s="12">
        <v>91.050430000000006</v>
      </c>
      <c r="K523" s="12">
        <v>22.8</v>
      </c>
      <c r="O523" s="12">
        <v>5</v>
      </c>
      <c r="Q523" s="12">
        <v>910</v>
      </c>
      <c r="R523" s="12">
        <v>471</v>
      </c>
      <c r="S523" s="12">
        <v>47</v>
      </c>
      <c r="T523" s="12">
        <v>1</v>
      </c>
    </row>
    <row r="524" spans="1:20" x14ac:dyDescent="0.25">
      <c r="A524" s="12">
        <v>336</v>
      </c>
      <c r="B524" s="11">
        <v>42283</v>
      </c>
      <c r="D524" s="11">
        <v>42284</v>
      </c>
      <c r="H524" s="12">
        <v>19</v>
      </c>
      <c r="I524" s="12">
        <v>33.067050000000002</v>
      </c>
      <c r="J524" s="12">
        <v>91.050430000000006</v>
      </c>
      <c r="K524" s="12">
        <v>22.8</v>
      </c>
      <c r="O524" s="12">
        <v>5</v>
      </c>
      <c r="Q524" s="12">
        <v>910</v>
      </c>
      <c r="R524" s="12">
        <v>434</v>
      </c>
      <c r="S524" s="12">
        <v>43</v>
      </c>
      <c r="T524" s="12">
        <v>1</v>
      </c>
    </row>
    <row r="525" spans="1:20" x14ac:dyDescent="0.25">
      <c r="A525" s="12">
        <v>336</v>
      </c>
      <c r="B525" s="11">
        <v>42283</v>
      </c>
      <c r="D525" s="11">
        <v>42284</v>
      </c>
      <c r="H525" s="12">
        <v>19</v>
      </c>
      <c r="I525" s="12">
        <v>33.067050000000002</v>
      </c>
      <c r="J525" s="12">
        <v>91.050430000000006</v>
      </c>
      <c r="K525" s="12">
        <v>22.8</v>
      </c>
      <c r="O525" s="12">
        <v>5</v>
      </c>
      <c r="Q525" s="12">
        <v>1758</v>
      </c>
      <c r="R525" s="12">
        <v>347</v>
      </c>
      <c r="S525" s="12">
        <v>34</v>
      </c>
      <c r="T525" s="12">
        <v>1</v>
      </c>
    </row>
    <row r="526" spans="1:20" x14ac:dyDescent="0.25">
      <c r="A526" s="12">
        <v>336</v>
      </c>
      <c r="B526" s="11">
        <v>42283</v>
      </c>
      <c r="D526" s="11">
        <v>42284</v>
      </c>
      <c r="H526" s="12">
        <v>19</v>
      </c>
      <c r="I526" s="12">
        <v>33.067050000000002</v>
      </c>
      <c r="J526" s="12">
        <v>91.050430000000006</v>
      </c>
      <c r="K526" s="12">
        <v>22.8</v>
      </c>
      <c r="O526" s="12">
        <v>5</v>
      </c>
      <c r="Q526" s="12">
        <v>1758</v>
      </c>
      <c r="R526" s="12">
        <v>386</v>
      </c>
      <c r="S526" s="12">
        <v>38</v>
      </c>
      <c r="T526" s="12">
        <v>1</v>
      </c>
    </row>
    <row r="527" spans="1:20" x14ac:dyDescent="0.25">
      <c r="A527" s="12">
        <v>336</v>
      </c>
      <c r="B527" s="11">
        <v>42283</v>
      </c>
      <c r="D527" s="11">
        <v>42284</v>
      </c>
      <c r="H527" s="12">
        <v>19</v>
      </c>
      <c r="I527" s="12">
        <v>33.067050000000002</v>
      </c>
      <c r="J527" s="12">
        <v>91.050430000000006</v>
      </c>
      <c r="K527" s="12">
        <v>22.8</v>
      </c>
      <c r="O527" s="12">
        <v>5</v>
      </c>
      <c r="Q527" s="12">
        <v>1397</v>
      </c>
      <c r="R527" s="12">
        <v>133</v>
      </c>
      <c r="S527" s="12">
        <v>13</v>
      </c>
      <c r="T527" s="12">
        <v>1</v>
      </c>
    </row>
    <row r="528" spans="1:20" x14ac:dyDescent="0.25">
      <c r="A528" s="12">
        <v>336</v>
      </c>
      <c r="B528" s="11">
        <v>42283</v>
      </c>
      <c r="D528" s="11">
        <v>42284</v>
      </c>
      <c r="H528" s="12">
        <v>19</v>
      </c>
      <c r="I528" s="12">
        <v>33.067050000000002</v>
      </c>
      <c r="J528" s="12">
        <v>91.050430000000006</v>
      </c>
      <c r="K528" s="12">
        <v>22.8</v>
      </c>
      <c r="O528" s="12">
        <v>5</v>
      </c>
      <c r="Q528" s="12">
        <v>1397</v>
      </c>
      <c r="R528" s="12">
        <v>137</v>
      </c>
      <c r="S528" s="12">
        <v>13</v>
      </c>
      <c r="T528" s="12">
        <v>1</v>
      </c>
    </row>
    <row r="529" spans="1:20" x14ac:dyDescent="0.25">
      <c r="A529" s="12">
        <v>336</v>
      </c>
      <c r="B529" s="11">
        <v>42283</v>
      </c>
      <c r="D529" s="11">
        <v>42284</v>
      </c>
      <c r="H529" s="12">
        <v>19</v>
      </c>
      <c r="I529" s="12">
        <v>33.067050000000002</v>
      </c>
      <c r="J529" s="12">
        <v>91.050430000000006</v>
      </c>
      <c r="K529" s="12">
        <v>22.8</v>
      </c>
      <c r="O529" s="12">
        <v>5</v>
      </c>
      <c r="Q529" s="12">
        <v>1409</v>
      </c>
      <c r="R529" s="12">
        <v>216</v>
      </c>
      <c r="S529" s="12">
        <v>21</v>
      </c>
      <c r="T529" s="12">
        <v>1</v>
      </c>
    </row>
    <row r="530" spans="1:20" x14ac:dyDescent="0.25">
      <c r="A530" s="12">
        <v>336</v>
      </c>
      <c r="B530" s="11">
        <v>42283</v>
      </c>
      <c r="D530" s="11">
        <v>42284</v>
      </c>
      <c r="H530" s="12">
        <v>19</v>
      </c>
      <c r="I530" s="12">
        <v>33.067050000000002</v>
      </c>
      <c r="J530" s="12">
        <v>91.050430000000006</v>
      </c>
      <c r="K530" s="12">
        <v>22.8</v>
      </c>
      <c r="O530" s="12">
        <v>5</v>
      </c>
      <c r="Q530" s="12">
        <v>1409</v>
      </c>
      <c r="R530" s="12">
        <v>187</v>
      </c>
      <c r="S530" s="12">
        <v>18</v>
      </c>
      <c r="T530" s="12">
        <v>1</v>
      </c>
    </row>
    <row r="531" spans="1:20" x14ac:dyDescent="0.25">
      <c r="A531" s="12">
        <v>336</v>
      </c>
      <c r="B531" s="11">
        <v>42283</v>
      </c>
      <c r="D531" s="11">
        <v>42284</v>
      </c>
      <c r="H531" s="12">
        <v>19</v>
      </c>
      <c r="I531" s="12">
        <v>33.067050000000002</v>
      </c>
      <c r="J531" s="12">
        <v>91.050430000000006</v>
      </c>
      <c r="K531" s="12">
        <v>22.8</v>
      </c>
      <c r="O531" s="12">
        <v>5</v>
      </c>
      <c r="Q531" s="12">
        <v>1409</v>
      </c>
      <c r="R531" s="12">
        <v>231</v>
      </c>
      <c r="S531" s="12">
        <v>23</v>
      </c>
      <c r="T531" s="12">
        <v>1</v>
      </c>
    </row>
    <row r="532" spans="1:20" x14ac:dyDescent="0.25">
      <c r="A532" s="12">
        <v>336</v>
      </c>
      <c r="B532" s="11">
        <v>42283</v>
      </c>
      <c r="D532" s="11">
        <v>42284</v>
      </c>
      <c r="H532" s="12">
        <v>19</v>
      </c>
      <c r="I532" s="12">
        <v>33.067050000000002</v>
      </c>
      <c r="J532" s="12">
        <v>91.050430000000006</v>
      </c>
      <c r="K532" s="12">
        <v>22.8</v>
      </c>
      <c r="O532" s="12">
        <v>5</v>
      </c>
      <c r="Q532" s="12">
        <v>1409</v>
      </c>
      <c r="R532" s="12">
        <v>251</v>
      </c>
      <c r="S532" s="12">
        <v>25</v>
      </c>
      <c r="T532" s="12">
        <v>1</v>
      </c>
    </row>
    <row r="533" spans="1:20" x14ac:dyDescent="0.25">
      <c r="A533" s="12">
        <v>336</v>
      </c>
      <c r="B533" s="11">
        <v>42283</v>
      </c>
      <c r="D533" s="11">
        <v>42284</v>
      </c>
      <c r="H533" s="12">
        <v>19</v>
      </c>
      <c r="I533" s="12">
        <v>33.067050000000002</v>
      </c>
      <c r="J533" s="12">
        <v>91.050430000000006</v>
      </c>
      <c r="K533" s="12">
        <v>22.8</v>
      </c>
      <c r="O533" s="12">
        <v>5</v>
      </c>
      <c r="Q533" s="12">
        <v>1409</v>
      </c>
      <c r="R533" s="12">
        <v>169</v>
      </c>
      <c r="S533" s="12">
        <v>16</v>
      </c>
      <c r="T533" s="12">
        <v>1</v>
      </c>
    </row>
    <row r="534" spans="1:20" x14ac:dyDescent="0.25">
      <c r="A534" s="12">
        <v>336</v>
      </c>
      <c r="B534" s="11">
        <v>42283</v>
      </c>
      <c r="D534" s="11">
        <v>42284</v>
      </c>
      <c r="H534" s="12">
        <v>19</v>
      </c>
      <c r="I534" s="12">
        <v>33.067050000000002</v>
      </c>
      <c r="J534" s="12">
        <v>91.050430000000006</v>
      </c>
      <c r="K534" s="12">
        <v>22.8</v>
      </c>
      <c r="O534" s="12">
        <v>5</v>
      </c>
      <c r="Q534" s="12">
        <v>1409</v>
      </c>
      <c r="R534" s="12">
        <v>159</v>
      </c>
      <c r="S534" s="12">
        <v>15</v>
      </c>
      <c r="T534" s="12">
        <v>1</v>
      </c>
    </row>
    <row r="535" spans="1:20" x14ac:dyDescent="0.25">
      <c r="A535" s="12">
        <v>336</v>
      </c>
      <c r="B535" s="11">
        <v>42283</v>
      </c>
      <c r="D535" s="11">
        <v>42284</v>
      </c>
      <c r="H535" s="12">
        <v>19</v>
      </c>
      <c r="I535" s="12">
        <v>33.067050000000002</v>
      </c>
      <c r="J535" s="12">
        <v>91.050430000000006</v>
      </c>
      <c r="K535" s="12">
        <v>22.8</v>
      </c>
      <c r="O535" s="12">
        <v>5</v>
      </c>
      <c r="Q535" s="12">
        <v>1409</v>
      </c>
      <c r="R535" s="12">
        <v>148</v>
      </c>
      <c r="S535" s="12">
        <v>14</v>
      </c>
      <c r="T535" s="12">
        <v>1</v>
      </c>
    </row>
    <row r="536" spans="1:20" x14ac:dyDescent="0.25">
      <c r="A536" s="12">
        <v>336</v>
      </c>
      <c r="B536" s="11">
        <v>42283</v>
      </c>
      <c r="D536" s="11">
        <v>42284</v>
      </c>
      <c r="H536" s="12">
        <v>19</v>
      </c>
      <c r="I536" s="12">
        <v>33.067050000000002</v>
      </c>
      <c r="J536" s="12">
        <v>91.050430000000006</v>
      </c>
      <c r="K536" s="12">
        <v>22.8</v>
      </c>
      <c r="O536" s="12">
        <v>5</v>
      </c>
      <c r="Q536" s="12">
        <v>1410</v>
      </c>
      <c r="R536" s="12">
        <v>139</v>
      </c>
      <c r="S536" s="12">
        <v>13</v>
      </c>
      <c r="T536" s="12">
        <v>1</v>
      </c>
    </row>
    <row r="537" spans="1:20" x14ac:dyDescent="0.25">
      <c r="A537" s="12">
        <v>336</v>
      </c>
      <c r="B537" s="11">
        <v>42283</v>
      </c>
      <c r="D537" s="11">
        <v>42284</v>
      </c>
      <c r="H537" s="12">
        <v>19</v>
      </c>
      <c r="I537" s="12">
        <v>33.067050000000002</v>
      </c>
      <c r="J537" s="12">
        <v>91.050430000000006</v>
      </c>
      <c r="K537" s="12">
        <v>22.8</v>
      </c>
      <c r="O537" s="12">
        <v>5</v>
      </c>
      <c r="Q537" s="12">
        <v>1410</v>
      </c>
      <c r="R537" s="12">
        <v>168</v>
      </c>
      <c r="S537" s="12">
        <v>16</v>
      </c>
      <c r="T537" s="12">
        <v>1</v>
      </c>
    </row>
    <row r="538" spans="1:20" x14ac:dyDescent="0.25">
      <c r="A538" s="12">
        <v>336</v>
      </c>
      <c r="B538" s="11">
        <v>42283</v>
      </c>
      <c r="D538" s="11">
        <v>42284</v>
      </c>
      <c r="H538" s="12">
        <v>20</v>
      </c>
      <c r="I538" s="12">
        <v>33.083970000000001</v>
      </c>
      <c r="J538" s="12">
        <v>91.048640000000006</v>
      </c>
      <c r="K538" s="12">
        <v>22.8</v>
      </c>
      <c r="O538" s="12">
        <v>3</v>
      </c>
      <c r="Q538" s="12">
        <v>910</v>
      </c>
      <c r="R538" s="12">
        <v>434</v>
      </c>
      <c r="S538" s="12">
        <v>43</v>
      </c>
      <c r="T538" s="12">
        <v>1</v>
      </c>
    </row>
    <row r="539" spans="1:20" x14ac:dyDescent="0.25">
      <c r="A539" s="12">
        <v>336</v>
      </c>
      <c r="B539" s="11">
        <v>42283</v>
      </c>
      <c r="D539" s="11">
        <v>42284</v>
      </c>
      <c r="H539" s="12">
        <v>20</v>
      </c>
      <c r="I539" s="12">
        <v>33.083970000000001</v>
      </c>
      <c r="J539" s="12">
        <v>91.048640000000006</v>
      </c>
      <c r="K539" s="12">
        <v>22.8</v>
      </c>
      <c r="O539" s="12">
        <v>3</v>
      </c>
      <c r="Q539" s="12">
        <v>1397</v>
      </c>
      <c r="R539" s="12">
        <v>66</v>
      </c>
      <c r="S539" s="12">
        <v>6</v>
      </c>
      <c r="T539" s="12">
        <v>1</v>
      </c>
    </row>
    <row r="540" spans="1:20" x14ac:dyDescent="0.25">
      <c r="A540" s="12">
        <v>336</v>
      </c>
      <c r="B540" s="11">
        <v>42283</v>
      </c>
      <c r="D540" s="11">
        <v>42284</v>
      </c>
      <c r="H540" s="12">
        <v>20</v>
      </c>
      <c r="I540" s="12">
        <v>33.083970000000001</v>
      </c>
      <c r="J540" s="12">
        <v>91.048640000000006</v>
      </c>
      <c r="K540" s="12">
        <v>22.8</v>
      </c>
      <c r="O540" s="12">
        <v>3</v>
      </c>
      <c r="Q540" s="12">
        <v>1397</v>
      </c>
      <c r="R540" s="12">
        <v>65</v>
      </c>
      <c r="S540" s="12">
        <v>6</v>
      </c>
      <c r="T540" s="12">
        <v>1</v>
      </c>
    </row>
    <row r="541" spans="1:20" x14ac:dyDescent="0.25">
      <c r="A541" s="12">
        <v>336</v>
      </c>
      <c r="B541" s="11">
        <v>42283</v>
      </c>
      <c r="D541" s="11">
        <v>42284</v>
      </c>
      <c r="H541" s="12">
        <v>20</v>
      </c>
      <c r="I541" s="12">
        <v>33.083970000000001</v>
      </c>
      <c r="J541" s="12">
        <v>91.048640000000006</v>
      </c>
      <c r="K541" s="12">
        <v>22.8</v>
      </c>
      <c r="O541" s="12">
        <v>3</v>
      </c>
      <c r="Q541" s="12">
        <v>1395</v>
      </c>
      <c r="R541" s="12">
        <v>200</v>
      </c>
      <c r="S541" s="12">
        <v>20</v>
      </c>
      <c r="T541" s="12">
        <v>1</v>
      </c>
    </row>
    <row r="542" spans="1:20" x14ac:dyDescent="0.25">
      <c r="A542" s="12">
        <v>336</v>
      </c>
      <c r="B542" s="11">
        <v>42283</v>
      </c>
      <c r="D542" s="11">
        <v>42284</v>
      </c>
      <c r="H542" s="12">
        <v>20</v>
      </c>
      <c r="I542" s="12">
        <v>33.083970000000001</v>
      </c>
      <c r="J542" s="12">
        <v>91.048640000000006</v>
      </c>
      <c r="K542" s="12">
        <v>22.8</v>
      </c>
      <c r="O542" s="12">
        <v>3</v>
      </c>
      <c r="Q542" s="12">
        <v>1409</v>
      </c>
      <c r="R542" s="12">
        <v>216</v>
      </c>
      <c r="S542" s="12">
        <v>21</v>
      </c>
      <c r="T542" s="12">
        <v>1</v>
      </c>
    </row>
    <row r="543" spans="1:20" x14ac:dyDescent="0.25">
      <c r="A543" s="12">
        <v>336</v>
      </c>
      <c r="B543" s="11">
        <v>42283</v>
      </c>
      <c r="D543" s="11">
        <v>42284</v>
      </c>
      <c r="H543" s="12">
        <v>20</v>
      </c>
      <c r="I543" s="12">
        <v>33.083970000000001</v>
      </c>
      <c r="J543" s="12">
        <v>91.048640000000006</v>
      </c>
      <c r="K543" s="12">
        <v>22.8</v>
      </c>
      <c r="O543" s="12">
        <v>3</v>
      </c>
      <c r="Q543" s="12">
        <v>1409</v>
      </c>
      <c r="R543" s="12">
        <v>284</v>
      </c>
      <c r="S543" s="12">
        <v>28</v>
      </c>
      <c r="T543" s="12">
        <v>1</v>
      </c>
    </row>
    <row r="544" spans="1:20" x14ac:dyDescent="0.25">
      <c r="A544" s="12">
        <v>336</v>
      </c>
      <c r="B544" s="11">
        <v>42283</v>
      </c>
      <c r="D544" s="11">
        <v>42284</v>
      </c>
      <c r="H544" s="12">
        <v>20</v>
      </c>
      <c r="I544" s="12">
        <v>33.083970000000001</v>
      </c>
      <c r="J544" s="12">
        <v>91.048640000000006</v>
      </c>
      <c r="K544" s="12">
        <v>22.8</v>
      </c>
      <c r="O544" s="12">
        <v>3</v>
      </c>
      <c r="Q544" s="12">
        <v>1409</v>
      </c>
      <c r="R544" s="12">
        <v>225</v>
      </c>
      <c r="S544" s="12">
        <v>22</v>
      </c>
      <c r="T544" s="12">
        <v>1</v>
      </c>
    </row>
    <row r="545" spans="1:20" x14ac:dyDescent="0.25">
      <c r="A545" s="12">
        <v>336</v>
      </c>
      <c r="B545" s="11">
        <v>42283</v>
      </c>
      <c r="D545" s="11">
        <v>42284</v>
      </c>
      <c r="H545" s="12">
        <v>20</v>
      </c>
      <c r="I545" s="12">
        <v>33.083970000000001</v>
      </c>
      <c r="J545" s="12">
        <v>91.048640000000006</v>
      </c>
      <c r="K545" s="12">
        <v>22.8</v>
      </c>
      <c r="O545" s="12">
        <v>3</v>
      </c>
      <c r="Q545" s="12">
        <v>1409</v>
      </c>
      <c r="R545" s="12">
        <v>196</v>
      </c>
      <c r="S545" s="12">
        <v>19</v>
      </c>
      <c r="T545" s="12">
        <v>1</v>
      </c>
    </row>
    <row r="546" spans="1:20" x14ac:dyDescent="0.25">
      <c r="A546" s="12">
        <v>336</v>
      </c>
      <c r="B546" s="11">
        <v>42283</v>
      </c>
      <c r="D546" s="11">
        <v>42284</v>
      </c>
      <c r="H546" s="12">
        <v>20</v>
      </c>
      <c r="I546" s="12">
        <v>33.083970000000001</v>
      </c>
      <c r="J546" s="12">
        <v>91.048640000000006</v>
      </c>
      <c r="K546" s="12">
        <v>22.8</v>
      </c>
      <c r="O546" s="12">
        <v>3</v>
      </c>
      <c r="Q546" s="12">
        <v>1409</v>
      </c>
      <c r="R546" s="12">
        <v>254</v>
      </c>
      <c r="S546" s="12">
        <v>25</v>
      </c>
      <c r="T546" s="12">
        <v>1</v>
      </c>
    </row>
    <row r="547" spans="1:20" x14ac:dyDescent="0.25">
      <c r="A547" s="12">
        <v>336</v>
      </c>
      <c r="B547" s="11">
        <v>42283</v>
      </c>
      <c r="D547" s="11">
        <v>42284</v>
      </c>
      <c r="H547" s="12">
        <v>20</v>
      </c>
      <c r="I547" s="12">
        <v>33.083970000000001</v>
      </c>
      <c r="J547" s="12">
        <v>91.048640000000006</v>
      </c>
      <c r="K547" s="12">
        <v>22.8</v>
      </c>
      <c r="O547" s="12">
        <v>3</v>
      </c>
      <c r="Q547" s="12">
        <v>1410</v>
      </c>
      <c r="R547" s="12">
        <v>97</v>
      </c>
      <c r="S547" s="12">
        <v>9</v>
      </c>
      <c r="T547" s="12">
        <v>1</v>
      </c>
    </row>
    <row r="548" spans="1:20" x14ac:dyDescent="0.25">
      <c r="A548" s="12">
        <v>336</v>
      </c>
      <c r="B548" s="11">
        <v>42283</v>
      </c>
      <c r="D548" s="11">
        <v>42284</v>
      </c>
      <c r="H548" s="12">
        <v>20</v>
      </c>
      <c r="I548" s="12">
        <v>33.083970000000001</v>
      </c>
      <c r="J548" s="12">
        <v>91.048640000000006</v>
      </c>
      <c r="K548" s="12">
        <v>22.8</v>
      </c>
      <c r="O548" s="12">
        <v>3</v>
      </c>
      <c r="Q548" s="12">
        <v>1410</v>
      </c>
      <c r="R548" s="12">
        <v>85</v>
      </c>
      <c r="S548" s="12">
        <v>8</v>
      </c>
      <c r="T548" s="12">
        <v>1</v>
      </c>
    </row>
    <row r="549" spans="1:20" x14ac:dyDescent="0.25">
      <c r="A549" s="12">
        <v>336</v>
      </c>
      <c r="B549" s="11">
        <v>42283</v>
      </c>
      <c r="D549" s="11">
        <v>42284</v>
      </c>
      <c r="H549" s="12">
        <v>20</v>
      </c>
      <c r="I549" s="12">
        <v>33.083970000000001</v>
      </c>
      <c r="J549" s="12">
        <v>91.048640000000006</v>
      </c>
      <c r="K549" s="12">
        <v>22.8</v>
      </c>
      <c r="O549" s="12">
        <v>3</v>
      </c>
      <c r="Q549" s="12">
        <v>1410</v>
      </c>
      <c r="R549" s="12">
        <v>255</v>
      </c>
      <c r="S549" s="12">
        <v>25</v>
      </c>
      <c r="T549" s="12">
        <v>1</v>
      </c>
    </row>
    <row r="550" spans="1:20" x14ac:dyDescent="0.25">
      <c r="A550" s="12">
        <v>336</v>
      </c>
      <c r="B550" s="11">
        <v>42283</v>
      </c>
      <c r="D550" s="11">
        <v>42284</v>
      </c>
      <c r="H550" s="12">
        <v>20</v>
      </c>
      <c r="I550" s="12">
        <v>33.083970000000001</v>
      </c>
      <c r="J550" s="12">
        <v>91.048640000000006</v>
      </c>
      <c r="K550" s="12">
        <v>22.8</v>
      </c>
      <c r="O550" s="12">
        <v>3</v>
      </c>
      <c r="Q550" s="12">
        <v>1410</v>
      </c>
      <c r="R550" s="12">
        <v>259</v>
      </c>
      <c r="S550" s="12">
        <v>25</v>
      </c>
      <c r="T550" s="12">
        <v>1</v>
      </c>
    </row>
    <row r="551" spans="1:20" x14ac:dyDescent="0.25">
      <c r="A551" s="12">
        <v>336</v>
      </c>
      <c r="B551" s="11">
        <v>42283</v>
      </c>
      <c r="D551" s="11">
        <v>42284</v>
      </c>
      <c r="H551" s="12">
        <v>20</v>
      </c>
      <c r="I551" s="12">
        <v>33.083970000000001</v>
      </c>
      <c r="J551" s="12">
        <v>91.048640000000006</v>
      </c>
      <c r="K551" s="12">
        <v>22.8</v>
      </c>
      <c r="O551" s="12">
        <v>3</v>
      </c>
      <c r="Q551" s="12">
        <v>1410</v>
      </c>
      <c r="R551" s="12">
        <v>327</v>
      </c>
      <c r="S551" s="12">
        <v>32</v>
      </c>
      <c r="T551" s="12">
        <v>1</v>
      </c>
    </row>
    <row r="552" spans="1:20" x14ac:dyDescent="0.25">
      <c r="A552" s="12">
        <v>336</v>
      </c>
      <c r="B552" s="11">
        <v>42283</v>
      </c>
      <c r="D552" s="11">
        <v>42284</v>
      </c>
      <c r="H552" s="12">
        <v>21</v>
      </c>
      <c r="I552" s="12">
        <v>33.086120000000001</v>
      </c>
      <c r="J552" s="12">
        <v>91.043999999999997</v>
      </c>
      <c r="K552" s="12">
        <v>22.8</v>
      </c>
      <c r="O552" s="12">
        <v>5</v>
      </c>
      <c r="Q552" s="12">
        <v>1410</v>
      </c>
      <c r="R552" s="12">
        <v>319</v>
      </c>
      <c r="S552" s="12">
        <v>31</v>
      </c>
      <c r="T552" s="12">
        <v>1</v>
      </c>
    </row>
    <row r="553" spans="1:20" x14ac:dyDescent="0.25">
      <c r="A553" s="12">
        <v>336</v>
      </c>
      <c r="B553" s="11">
        <v>42283</v>
      </c>
      <c r="D553" s="11">
        <v>42284</v>
      </c>
      <c r="H553" s="12">
        <v>21</v>
      </c>
      <c r="I553" s="12">
        <v>33.086120000000001</v>
      </c>
      <c r="J553" s="12">
        <v>91.043999999999997</v>
      </c>
      <c r="K553" s="12">
        <v>22.8</v>
      </c>
      <c r="O553" s="12">
        <v>5</v>
      </c>
      <c r="Q553" s="12">
        <v>1410</v>
      </c>
      <c r="R553" s="12">
        <v>245</v>
      </c>
      <c r="S553" s="12">
        <v>24</v>
      </c>
      <c r="T553" s="12">
        <v>1</v>
      </c>
    </row>
    <row r="554" spans="1:20" x14ac:dyDescent="0.25">
      <c r="A554" s="12">
        <v>336</v>
      </c>
      <c r="B554" s="11">
        <v>42283</v>
      </c>
      <c r="D554" s="11">
        <v>42284</v>
      </c>
      <c r="H554" s="12">
        <v>21</v>
      </c>
      <c r="I554" s="12">
        <v>33.086120000000001</v>
      </c>
      <c r="J554" s="12">
        <v>91.043999999999997</v>
      </c>
      <c r="K554" s="12">
        <v>22.8</v>
      </c>
      <c r="O554" s="12">
        <v>5</v>
      </c>
      <c r="Q554" s="12">
        <v>1410</v>
      </c>
      <c r="R554" s="12">
        <v>254</v>
      </c>
      <c r="S554" s="12">
        <v>25</v>
      </c>
      <c r="T554" s="12">
        <v>1</v>
      </c>
    </row>
    <row r="555" spans="1:20" x14ac:dyDescent="0.25">
      <c r="A555" s="12">
        <v>336</v>
      </c>
      <c r="B555" s="11">
        <v>42283</v>
      </c>
      <c r="D555" s="11">
        <v>42284</v>
      </c>
      <c r="H555" s="12">
        <v>21</v>
      </c>
      <c r="I555" s="12">
        <v>33.086120000000001</v>
      </c>
      <c r="J555" s="12">
        <v>91.043999999999997</v>
      </c>
      <c r="K555" s="12">
        <v>22.8</v>
      </c>
      <c r="O555" s="12">
        <v>5</v>
      </c>
      <c r="Q555" s="12">
        <v>1410</v>
      </c>
      <c r="R555" s="12">
        <v>181</v>
      </c>
      <c r="S555" s="12">
        <v>18</v>
      </c>
      <c r="T555" s="12">
        <v>1</v>
      </c>
    </row>
    <row r="556" spans="1:20" x14ac:dyDescent="0.25">
      <c r="A556" s="12">
        <v>336</v>
      </c>
      <c r="B556" s="11">
        <v>42283</v>
      </c>
      <c r="D556" s="11">
        <v>42284</v>
      </c>
      <c r="H556" s="12">
        <v>21</v>
      </c>
      <c r="I556" s="12">
        <v>33.086120000000001</v>
      </c>
      <c r="J556" s="12">
        <v>91.043999999999997</v>
      </c>
      <c r="K556" s="12">
        <v>22.8</v>
      </c>
      <c r="O556" s="12">
        <v>5</v>
      </c>
      <c r="Q556" s="12">
        <v>1410</v>
      </c>
      <c r="R556" s="12">
        <v>223</v>
      </c>
      <c r="S556" s="12">
        <v>22</v>
      </c>
      <c r="T556" s="12">
        <v>1</v>
      </c>
    </row>
    <row r="557" spans="1:20" x14ac:dyDescent="0.25">
      <c r="A557" s="12">
        <v>336</v>
      </c>
      <c r="B557" s="11">
        <v>42283</v>
      </c>
      <c r="D557" s="11">
        <v>42284</v>
      </c>
      <c r="H557" s="12">
        <v>21</v>
      </c>
      <c r="I557" s="12">
        <v>33.086120000000001</v>
      </c>
      <c r="J557" s="12">
        <v>91.043999999999997</v>
      </c>
      <c r="K557" s="12">
        <v>22.8</v>
      </c>
      <c r="O557" s="12">
        <v>5</v>
      </c>
      <c r="Q557" s="12">
        <v>1410</v>
      </c>
      <c r="R557" s="12">
        <v>244</v>
      </c>
      <c r="S557" s="12">
        <v>24</v>
      </c>
      <c r="T557" s="12">
        <v>1</v>
      </c>
    </row>
    <row r="558" spans="1:20" x14ac:dyDescent="0.25">
      <c r="A558" s="12">
        <v>336</v>
      </c>
      <c r="B558" s="11">
        <v>42283</v>
      </c>
      <c r="D558" s="11">
        <v>42284</v>
      </c>
      <c r="H558" s="12">
        <v>21</v>
      </c>
      <c r="I558" s="12">
        <v>33.086120000000001</v>
      </c>
      <c r="J558" s="12">
        <v>91.043999999999997</v>
      </c>
      <c r="K558" s="12">
        <v>22.8</v>
      </c>
      <c r="O558" s="12">
        <v>5</v>
      </c>
      <c r="Q558" s="12">
        <v>1410</v>
      </c>
      <c r="R558" s="12">
        <v>251</v>
      </c>
      <c r="S558" s="12">
        <v>25</v>
      </c>
      <c r="T558" s="12">
        <v>1</v>
      </c>
    </row>
    <row r="559" spans="1:20" x14ac:dyDescent="0.25">
      <c r="A559" s="12">
        <v>336</v>
      </c>
      <c r="B559" s="11">
        <v>42283</v>
      </c>
      <c r="D559" s="11">
        <v>42284</v>
      </c>
      <c r="H559" s="12">
        <v>21</v>
      </c>
      <c r="I559" s="12">
        <v>33.086120000000001</v>
      </c>
      <c r="J559" s="12">
        <v>91.043999999999997</v>
      </c>
      <c r="K559" s="12">
        <v>22.8</v>
      </c>
      <c r="O559" s="12">
        <v>5</v>
      </c>
      <c r="Q559" s="12">
        <v>1410</v>
      </c>
      <c r="R559" s="12">
        <v>203</v>
      </c>
      <c r="S559" s="12">
        <v>20</v>
      </c>
      <c r="T559" s="12">
        <v>1</v>
      </c>
    </row>
    <row r="560" spans="1:20" x14ac:dyDescent="0.25">
      <c r="A560" s="12">
        <v>336</v>
      </c>
      <c r="B560" s="11">
        <v>42283</v>
      </c>
      <c r="D560" s="11">
        <v>42284</v>
      </c>
      <c r="H560" s="12">
        <v>21</v>
      </c>
      <c r="I560" s="12">
        <v>33.086120000000001</v>
      </c>
      <c r="J560" s="12">
        <v>91.043999999999997</v>
      </c>
      <c r="K560" s="12">
        <v>22.8</v>
      </c>
      <c r="O560" s="12">
        <v>5</v>
      </c>
      <c r="Q560" s="12">
        <v>1410</v>
      </c>
      <c r="R560" s="12">
        <v>296</v>
      </c>
      <c r="S560" s="12">
        <v>29</v>
      </c>
      <c r="T560" s="12">
        <v>1</v>
      </c>
    </row>
    <row r="561" spans="1:20" x14ac:dyDescent="0.25">
      <c r="A561" s="12">
        <v>336</v>
      </c>
      <c r="B561" s="11">
        <v>42283</v>
      </c>
      <c r="D561" s="11">
        <v>42284</v>
      </c>
      <c r="H561" s="12">
        <v>21</v>
      </c>
      <c r="I561" s="12">
        <v>33.086120000000001</v>
      </c>
      <c r="J561" s="12">
        <v>91.043999999999997</v>
      </c>
      <c r="K561" s="12">
        <v>22.8</v>
      </c>
      <c r="O561" s="12">
        <v>5</v>
      </c>
      <c r="Q561" s="12">
        <v>1410</v>
      </c>
      <c r="R561" s="12">
        <v>148</v>
      </c>
      <c r="S561" s="12">
        <v>14</v>
      </c>
      <c r="T561" s="12">
        <v>1</v>
      </c>
    </row>
    <row r="562" spans="1:20" x14ac:dyDescent="0.25">
      <c r="A562" s="12">
        <v>336</v>
      </c>
      <c r="B562" s="11">
        <v>42283</v>
      </c>
      <c r="D562" s="11">
        <v>42284</v>
      </c>
      <c r="H562" s="12">
        <v>21</v>
      </c>
      <c r="I562" s="12">
        <v>33.086120000000001</v>
      </c>
      <c r="J562" s="12">
        <v>91.043999999999997</v>
      </c>
      <c r="K562" s="12">
        <v>22.8</v>
      </c>
      <c r="O562" s="12">
        <v>5</v>
      </c>
      <c r="Q562" s="12">
        <v>1410</v>
      </c>
      <c r="R562" s="12">
        <v>139</v>
      </c>
      <c r="S562" s="12">
        <v>13</v>
      </c>
      <c r="T562" s="12">
        <v>1</v>
      </c>
    </row>
    <row r="563" spans="1:20" x14ac:dyDescent="0.25">
      <c r="A563" s="12">
        <v>336</v>
      </c>
      <c r="B563" s="11">
        <v>42283</v>
      </c>
      <c r="D563" s="11">
        <v>42284</v>
      </c>
      <c r="H563" s="12">
        <v>21</v>
      </c>
      <c r="I563" s="12">
        <v>33.086120000000001</v>
      </c>
      <c r="J563" s="12">
        <v>91.043999999999997</v>
      </c>
      <c r="K563" s="12">
        <v>22.8</v>
      </c>
      <c r="O563" s="12">
        <v>5</v>
      </c>
      <c r="Q563" s="12">
        <v>1410</v>
      </c>
      <c r="R563" s="12">
        <v>144</v>
      </c>
      <c r="S563" s="12">
        <v>14</v>
      </c>
      <c r="T563" s="12">
        <v>1</v>
      </c>
    </row>
    <row r="564" spans="1:20" x14ac:dyDescent="0.25">
      <c r="A564" s="12">
        <v>336</v>
      </c>
      <c r="B564" s="11">
        <v>42283</v>
      </c>
      <c r="D564" s="11">
        <v>42284</v>
      </c>
      <c r="H564" s="12">
        <v>21</v>
      </c>
      <c r="I564" s="12">
        <v>33.086120000000001</v>
      </c>
      <c r="J564" s="12">
        <v>91.043999999999997</v>
      </c>
      <c r="K564" s="12">
        <v>22.8</v>
      </c>
      <c r="O564" s="12">
        <v>5</v>
      </c>
      <c r="Q564" s="12">
        <v>1410</v>
      </c>
      <c r="R564" s="12">
        <v>146</v>
      </c>
      <c r="S564" s="12">
        <v>14</v>
      </c>
      <c r="T564" s="12">
        <v>1</v>
      </c>
    </row>
    <row r="565" spans="1:20" x14ac:dyDescent="0.25">
      <c r="A565" s="12">
        <v>336</v>
      </c>
      <c r="B565" s="11">
        <v>42283</v>
      </c>
      <c r="D565" s="11">
        <v>42284</v>
      </c>
      <c r="H565" s="12">
        <v>21</v>
      </c>
      <c r="I565" s="12">
        <v>33.086120000000001</v>
      </c>
      <c r="J565" s="12">
        <v>91.043999999999997</v>
      </c>
      <c r="K565" s="12">
        <v>22.8</v>
      </c>
      <c r="O565" s="12">
        <v>5</v>
      </c>
      <c r="Q565" s="12">
        <v>1409</v>
      </c>
      <c r="R565" s="12">
        <v>288</v>
      </c>
      <c r="S565" s="12">
        <v>28</v>
      </c>
      <c r="T565" s="12">
        <v>1</v>
      </c>
    </row>
    <row r="566" spans="1:20" x14ac:dyDescent="0.25">
      <c r="A566" s="12">
        <v>336</v>
      </c>
      <c r="B566" s="11">
        <v>42283</v>
      </c>
      <c r="D566" s="11">
        <v>42284</v>
      </c>
      <c r="H566" s="12">
        <v>21</v>
      </c>
      <c r="I566" s="12">
        <v>33.086120000000001</v>
      </c>
      <c r="J566" s="12">
        <v>91.043999999999997</v>
      </c>
      <c r="K566" s="12">
        <v>22.8</v>
      </c>
      <c r="O566" s="12">
        <v>5</v>
      </c>
      <c r="Q566" s="12">
        <v>1409</v>
      </c>
      <c r="R566" s="12">
        <v>222</v>
      </c>
      <c r="S566" s="12">
        <v>22</v>
      </c>
      <c r="T566" s="12">
        <v>1</v>
      </c>
    </row>
    <row r="567" spans="1:20" x14ac:dyDescent="0.25">
      <c r="A567" s="12">
        <v>336</v>
      </c>
      <c r="B567" s="11">
        <v>42283</v>
      </c>
      <c r="D567" s="11">
        <v>42284</v>
      </c>
      <c r="H567" s="12">
        <v>21</v>
      </c>
      <c r="I567" s="12">
        <v>33.086120000000001</v>
      </c>
      <c r="J567" s="12">
        <v>91.043999999999997</v>
      </c>
      <c r="K567" s="12">
        <v>22.8</v>
      </c>
      <c r="O567" s="12">
        <v>5</v>
      </c>
      <c r="Q567" s="12">
        <v>1409</v>
      </c>
      <c r="R567" s="12">
        <v>135</v>
      </c>
      <c r="S567" s="12">
        <v>13</v>
      </c>
      <c r="T567" s="12">
        <v>1</v>
      </c>
    </row>
    <row r="568" spans="1:20" x14ac:dyDescent="0.25">
      <c r="A568" s="12">
        <v>336</v>
      </c>
      <c r="B568" s="11">
        <v>42283</v>
      </c>
      <c r="D568" s="11">
        <v>42284</v>
      </c>
      <c r="H568" s="12">
        <v>21</v>
      </c>
      <c r="I568" s="12">
        <v>33.086120000000001</v>
      </c>
      <c r="J568" s="12">
        <v>91.043999999999997</v>
      </c>
      <c r="K568" s="12">
        <v>22.8</v>
      </c>
      <c r="O568" s="12">
        <v>5</v>
      </c>
      <c r="Q568" s="12">
        <v>1409</v>
      </c>
      <c r="R568" s="12">
        <v>143</v>
      </c>
      <c r="S568" s="12">
        <v>14</v>
      </c>
      <c r="T568" s="12">
        <v>1</v>
      </c>
    </row>
    <row r="569" spans="1:20" x14ac:dyDescent="0.25">
      <c r="A569" s="12">
        <v>336</v>
      </c>
      <c r="B569" s="11">
        <v>42283</v>
      </c>
      <c r="D569" s="11">
        <v>42284</v>
      </c>
      <c r="H569" s="12">
        <v>21</v>
      </c>
      <c r="I569" s="12">
        <v>33.086120000000001</v>
      </c>
      <c r="J569" s="12">
        <v>91.043999999999997</v>
      </c>
      <c r="K569" s="12">
        <v>22.8</v>
      </c>
      <c r="O569" s="12">
        <v>5</v>
      </c>
      <c r="Q569" s="12">
        <v>1409</v>
      </c>
      <c r="R569" s="12">
        <v>155</v>
      </c>
      <c r="S569" s="12">
        <v>15</v>
      </c>
      <c r="T569" s="12">
        <v>1</v>
      </c>
    </row>
    <row r="570" spans="1:20" x14ac:dyDescent="0.25">
      <c r="A570" s="12">
        <v>336</v>
      </c>
      <c r="B570" s="11">
        <v>42283</v>
      </c>
      <c r="D570" s="11">
        <v>42284</v>
      </c>
      <c r="H570" s="12">
        <v>21</v>
      </c>
      <c r="I570" s="12">
        <v>33.086120000000001</v>
      </c>
      <c r="J570" s="12">
        <v>91.043999999999997</v>
      </c>
      <c r="K570" s="12">
        <v>22.8</v>
      </c>
      <c r="O570" s="12">
        <v>5</v>
      </c>
      <c r="Q570" s="12">
        <v>1307</v>
      </c>
      <c r="R570" s="12">
        <v>212</v>
      </c>
      <c r="S570" s="12">
        <v>21</v>
      </c>
      <c r="T570" s="12">
        <v>1</v>
      </c>
    </row>
    <row r="571" spans="1:20" x14ac:dyDescent="0.25">
      <c r="A571" s="12">
        <v>336</v>
      </c>
      <c r="B571" s="11">
        <v>42283</v>
      </c>
      <c r="D571" s="11">
        <v>42284</v>
      </c>
      <c r="H571" s="12">
        <v>21</v>
      </c>
      <c r="I571" s="12">
        <v>33.086120000000001</v>
      </c>
      <c r="J571" s="12">
        <v>91.043999999999997</v>
      </c>
      <c r="K571" s="12">
        <v>22.8</v>
      </c>
      <c r="O571" s="12">
        <v>5</v>
      </c>
      <c r="Q571" s="12">
        <v>1758</v>
      </c>
      <c r="R571" s="12">
        <v>397</v>
      </c>
      <c r="S571" s="12">
        <v>39</v>
      </c>
      <c r="T571" s="12">
        <v>1</v>
      </c>
    </row>
    <row r="572" spans="1:20" x14ac:dyDescent="0.25">
      <c r="A572" s="12">
        <v>336</v>
      </c>
      <c r="B572" s="11">
        <v>42283</v>
      </c>
      <c r="D572" s="11">
        <v>42284</v>
      </c>
      <c r="H572" s="12">
        <v>21</v>
      </c>
      <c r="I572" s="12">
        <v>33.086120000000001</v>
      </c>
      <c r="J572" s="12">
        <v>91.043999999999997</v>
      </c>
      <c r="K572" s="12">
        <v>22.8</v>
      </c>
      <c r="O572" s="12">
        <v>5</v>
      </c>
      <c r="Q572" s="12">
        <v>1758</v>
      </c>
      <c r="R572" s="12">
        <v>337</v>
      </c>
      <c r="S572" s="12">
        <v>33</v>
      </c>
      <c r="T572" s="12">
        <v>1</v>
      </c>
    </row>
    <row r="573" spans="1:20" x14ac:dyDescent="0.25">
      <c r="A573" s="12">
        <v>336</v>
      </c>
      <c r="B573" s="11">
        <v>42283</v>
      </c>
      <c r="D573" s="11">
        <v>42284</v>
      </c>
      <c r="H573" s="12">
        <v>21</v>
      </c>
      <c r="I573" s="12">
        <v>33.086120000000001</v>
      </c>
      <c r="J573" s="12">
        <v>91.043999999999997</v>
      </c>
      <c r="K573" s="12">
        <v>22.8</v>
      </c>
      <c r="O573" s="12">
        <v>5</v>
      </c>
      <c r="Q573" s="12">
        <v>1758</v>
      </c>
      <c r="R573" s="12">
        <v>402</v>
      </c>
      <c r="S573" s="12">
        <v>40</v>
      </c>
      <c r="T573" s="12">
        <v>1</v>
      </c>
    </row>
    <row r="574" spans="1:20" x14ac:dyDescent="0.25">
      <c r="A574" s="12">
        <v>336</v>
      </c>
      <c r="B574" s="11">
        <v>42283</v>
      </c>
      <c r="D574" s="11">
        <v>42284</v>
      </c>
      <c r="H574" s="12">
        <v>21</v>
      </c>
      <c r="I574" s="12">
        <v>33.086120000000001</v>
      </c>
      <c r="J574" s="12">
        <v>91.043999999999997</v>
      </c>
      <c r="K574" s="12">
        <v>22.8</v>
      </c>
      <c r="O574" s="12">
        <v>5</v>
      </c>
      <c r="Q574" s="12">
        <v>1758</v>
      </c>
      <c r="R574" s="12">
        <v>326</v>
      </c>
      <c r="S574" s="12">
        <v>32</v>
      </c>
      <c r="T574" s="12">
        <v>1</v>
      </c>
    </row>
    <row r="575" spans="1:20" x14ac:dyDescent="0.25">
      <c r="A575" s="12">
        <v>336</v>
      </c>
      <c r="B575" s="11">
        <v>42283</v>
      </c>
      <c r="D575" s="11">
        <v>42284</v>
      </c>
      <c r="H575" s="12">
        <v>22</v>
      </c>
      <c r="I575" s="12">
        <v>33.037419999999997</v>
      </c>
      <c r="J575" s="12">
        <v>91.037419999999997</v>
      </c>
      <c r="K575" s="12">
        <v>23.3</v>
      </c>
      <c r="O575" s="12">
        <v>5</v>
      </c>
      <c r="Q575" s="12">
        <v>216</v>
      </c>
      <c r="R575" s="12">
        <v>965</v>
      </c>
      <c r="S575" s="12">
        <v>96</v>
      </c>
      <c r="T575" s="12">
        <v>1</v>
      </c>
    </row>
    <row r="576" spans="1:20" x14ac:dyDescent="0.25">
      <c r="A576" s="12">
        <v>336</v>
      </c>
      <c r="B576" s="11">
        <v>42283</v>
      </c>
      <c r="D576" s="11">
        <v>42284</v>
      </c>
      <c r="H576" s="12">
        <v>22</v>
      </c>
      <c r="I576" s="12">
        <v>33.037419999999997</v>
      </c>
      <c r="J576" s="12">
        <v>91.037419999999997</v>
      </c>
      <c r="K576" s="12">
        <v>23.3</v>
      </c>
      <c r="O576" s="12">
        <v>5</v>
      </c>
      <c r="Q576" s="12">
        <v>216</v>
      </c>
      <c r="R576" s="12">
        <v>780</v>
      </c>
      <c r="S576" s="12">
        <v>78</v>
      </c>
      <c r="T576" s="12">
        <v>1</v>
      </c>
    </row>
    <row r="577" spans="1:20" x14ac:dyDescent="0.25">
      <c r="A577" s="12">
        <v>336</v>
      </c>
      <c r="B577" s="11">
        <v>42283</v>
      </c>
      <c r="D577" s="11">
        <v>42284</v>
      </c>
      <c r="H577" s="12">
        <v>22</v>
      </c>
      <c r="I577" s="12">
        <v>33.037419999999997</v>
      </c>
      <c r="J577" s="12">
        <v>91.037419999999997</v>
      </c>
      <c r="K577" s="12">
        <v>23.3</v>
      </c>
      <c r="O577" s="12">
        <v>5</v>
      </c>
      <c r="Q577" s="12">
        <v>1410</v>
      </c>
      <c r="R577" s="12">
        <v>232</v>
      </c>
      <c r="S577" s="12">
        <v>23</v>
      </c>
      <c r="T577" s="12">
        <v>1</v>
      </c>
    </row>
    <row r="578" spans="1:20" x14ac:dyDescent="0.25">
      <c r="A578" s="12">
        <v>336</v>
      </c>
      <c r="B578" s="11">
        <v>42283</v>
      </c>
      <c r="D578" s="11">
        <v>42284</v>
      </c>
      <c r="H578" s="12">
        <v>22</v>
      </c>
      <c r="I578" s="12">
        <v>33.037419999999997</v>
      </c>
      <c r="J578" s="12">
        <v>91.037419999999997</v>
      </c>
      <c r="K578" s="12">
        <v>23.3</v>
      </c>
      <c r="O578" s="12">
        <v>5</v>
      </c>
      <c r="Q578" s="12">
        <v>1410</v>
      </c>
      <c r="R578" s="12">
        <v>317</v>
      </c>
      <c r="S578" s="12">
        <v>31</v>
      </c>
      <c r="T578" s="12">
        <v>1</v>
      </c>
    </row>
    <row r="579" spans="1:20" x14ac:dyDescent="0.25">
      <c r="A579" s="12">
        <v>336</v>
      </c>
      <c r="B579" s="11">
        <v>42283</v>
      </c>
      <c r="D579" s="11">
        <v>42284</v>
      </c>
      <c r="H579" s="12">
        <v>22</v>
      </c>
      <c r="I579" s="12">
        <v>33.037419999999997</v>
      </c>
      <c r="J579" s="12">
        <v>91.037419999999997</v>
      </c>
      <c r="K579" s="12">
        <v>23.3</v>
      </c>
      <c r="O579" s="12">
        <v>5</v>
      </c>
      <c r="Q579" s="12">
        <v>1410</v>
      </c>
      <c r="R579" s="12">
        <v>268</v>
      </c>
      <c r="S579" s="12">
        <v>26</v>
      </c>
      <c r="T579" s="12">
        <v>1</v>
      </c>
    </row>
    <row r="580" spans="1:20" x14ac:dyDescent="0.25">
      <c r="A580" s="12">
        <v>336</v>
      </c>
      <c r="B580" s="11">
        <v>42283</v>
      </c>
      <c r="D580" s="11">
        <v>42284</v>
      </c>
      <c r="H580" s="12">
        <v>22</v>
      </c>
      <c r="I580" s="12">
        <v>33.037419999999997</v>
      </c>
      <c r="J580" s="12">
        <v>91.037419999999997</v>
      </c>
      <c r="K580" s="12">
        <v>23.3</v>
      </c>
      <c r="O580" s="12">
        <v>5</v>
      </c>
      <c r="Q580" s="12">
        <v>1410</v>
      </c>
      <c r="R580" s="12">
        <v>228</v>
      </c>
      <c r="S580" s="12">
        <v>22</v>
      </c>
      <c r="T580" s="12">
        <v>1</v>
      </c>
    </row>
    <row r="581" spans="1:20" x14ac:dyDescent="0.25">
      <c r="A581" s="12">
        <v>336</v>
      </c>
      <c r="B581" s="11">
        <v>42283</v>
      </c>
      <c r="D581" s="11">
        <v>42284</v>
      </c>
      <c r="H581" s="12">
        <v>22</v>
      </c>
      <c r="I581" s="12">
        <v>33.037419999999997</v>
      </c>
      <c r="J581" s="12">
        <v>91.037419999999997</v>
      </c>
      <c r="K581" s="12">
        <v>23.3</v>
      </c>
      <c r="O581" s="12">
        <v>5</v>
      </c>
      <c r="Q581" s="12">
        <v>1410</v>
      </c>
      <c r="R581" s="12">
        <v>291</v>
      </c>
      <c r="S581" s="12">
        <v>29</v>
      </c>
      <c r="T581" s="12">
        <v>1</v>
      </c>
    </row>
    <row r="582" spans="1:20" x14ac:dyDescent="0.25">
      <c r="A582" s="12">
        <v>336</v>
      </c>
      <c r="B582" s="11">
        <v>42283</v>
      </c>
      <c r="D582" s="11">
        <v>42284</v>
      </c>
      <c r="H582" s="12">
        <v>22</v>
      </c>
      <c r="I582" s="12">
        <v>33.037419999999997</v>
      </c>
      <c r="J582" s="12">
        <v>91.037419999999997</v>
      </c>
      <c r="K582" s="12">
        <v>23.3</v>
      </c>
      <c r="O582" s="12">
        <v>5</v>
      </c>
      <c r="Q582" s="12">
        <v>1410</v>
      </c>
      <c r="R582" s="12">
        <v>267</v>
      </c>
      <c r="S582" s="12">
        <v>26</v>
      </c>
      <c r="T582" s="12">
        <v>1</v>
      </c>
    </row>
    <row r="583" spans="1:20" x14ac:dyDescent="0.25">
      <c r="A583" s="12">
        <v>336</v>
      </c>
      <c r="B583" s="11">
        <v>42283</v>
      </c>
      <c r="D583" s="11">
        <v>42284</v>
      </c>
      <c r="H583" s="12">
        <v>22</v>
      </c>
      <c r="I583" s="12">
        <v>33.037419999999997</v>
      </c>
      <c r="J583" s="12">
        <v>91.037419999999997</v>
      </c>
      <c r="K583" s="12">
        <v>23.3</v>
      </c>
      <c r="O583" s="12">
        <v>5</v>
      </c>
      <c r="Q583" s="12">
        <v>1410</v>
      </c>
      <c r="R583" s="12">
        <v>295</v>
      </c>
      <c r="S583" s="12">
        <v>29</v>
      </c>
      <c r="T583" s="12">
        <v>1</v>
      </c>
    </row>
    <row r="584" spans="1:20" x14ac:dyDescent="0.25">
      <c r="A584" s="12">
        <v>336</v>
      </c>
      <c r="B584" s="11">
        <v>42283</v>
      </c>
      <c r="D584" s="11">
        <v>42284</v>
      </c>
      <c r="H584" s="12">
        <v>22</v>
      </c>
      <c r="I584" s="12">
        <v>33.037419999999997</v>
      </c>
      <c r="J584" s="12">
        <v>91.037419999999997</v>
      </c>
      <c r="K584" s="12">
        <v>23.3</v>
      </c>
      <c r="O584" s="12">
        <v>5</v>
      </c>
      <c r="Q584" s="12">
        <v>1410</v>
      </c>
      <c r="R584" s="12">
        <v>267</v>
      </c>
      <c r="S584" s="12">
        <v>26</v>
      </c>
      <c r="T584" s="12">
        <v>1</v>
      </c>
    </row>
    <row r="585" spans="1:20" x14ac:dyDescent="0.25">
      <c r="A585" s="12">
        <v>336</v>
      </c>
      <c r="B585" s="11">
        <v>42283</v>
      </c>
      <c r="D585" s="11">
        <v>42284</v>
      </c>
      <c r="H585" s="12">
        <v>22</v>
      </c>
      <c r="I585" s="12">
        <v>33.037419999999997</v>
      </c>
      <c r="J585" s="12">
        <v>91.037419999999997</v>
      </c>
      <c r="K585" s="12">
        <v>23.3</v>
      </c>
      <c r="O585" s="12">
        <v>5</v>
      </c>
      <c r="Q585" s="12">
        <v>1410</v>
      </c>
      <c r="R585" s="12">
        <v>237</v>
      </c>
      <c r="S585" s="12">
        <v>23</v>
      </c>
      <c r="T585" s="12">
        <v>1</v>
      </c>
    </row>
    <row r="586" spans="1:20" x14ac:dyDescent="0.25">
      <c r="A586" s="12">
        <v>336</v>
      </c>
      <c r="B586" s="11">
        <v>42283</v>
      </c>
      <c r="D586" s="11">
        <v>42284</v>
      </c>
      <c r="H586" s="12">
        <v>22</v>
      </c>
      <c r="I586" s="12">
        <v>33.037419999999997</v>
      </c>
      <c r="J586" s="12">
        <v>91.037419999999997</v>
      </c>
      <c r="K586" s="12">
        <v>23.3</v>
      </c>
      <c r="O586" s="12">
        <v>5</v>
      </c>
      <c r="Q586" s="12">
        <v>1410</v>
      </c>
      <c r="R586" s="12">
        <v>244</v>
      </c>
      <c r="S586" s="12">
        <v>24</v>
      </c>
      <c r="T586" s="12">
        <v>1</v>
      </c>
    </row>
    <row r="587" spans="1:20" x14ac:dyDescent="0.25">
      <c r="A587" s="12">
        <v>336</v>
      </c>
      <c r="B587" s="11">
        <v>42283</v>
      </c>
      <c r="D587" s="11">
        <v>42284</v>
      </c>
      <c r="H587" s="12">
        <v>22</v>
      </c>
      <c r="I587" s="12">
        <v>33.037419999999997</v>
      </c>
      <c r="J587" s="12">
        <v>91.037419999999997</v>
      </c>
      <c r="K587" s="12">
        <v>23.3</v>
      </c>
      <c r="O587" s="12">
        <v>5</v>
      </c>
      <c r="Q587" s="12">
        <v>1410</v>
      </c>
      <c r="R587" s="12">
        <v>246</v>
      </c>
      <c r="S587" s="12">
        <v>24</v>
      </c>
      <c r="T587" s="12">
        <v>1</v>
      </c>
    </row>
    <row r="588" spans="1:20" x14ac:dyDescent="0.25">
      <c r="A588" s="12">
        <v>336</v>
      </c>
      <c r="B588" s="11">
        <v>42283</v>
      </c>
      <c r="D588" s="11">
        <v>42284</v>
      </c>
      <c r="H588" s="12">
        <v>22</v>
      </c>
      <c r="I588" s="12">
        <v>33.037419999999997</v>
      </c>
      <c r="J588" s="12">
        <v>91.037419999999997</v>
      </c>
      <c r="K588" s="12">
        <v>23.3</v>
      </c>
      <c r="O588" s="12">
        <v>5</v>
      </c>
      <c r="Q588" s="12">
        <v>1409</v>
      </c>
      <c r="R588" s="12">
        <v>220</v>
      </c>
      <c r="S588" s="12">
        <v>22</v>
      </c>
      <c r="T588" s="12">
        <v>1</v>
      </c>
    </row>
    <row r="589" spans="1:20" x14ac:dyDescent="0.25">
      <c r="A589" s="12">
        <v>336</v>
      </c>
      <c r="B589" s="11">
        <v>42283</v>
      </c>
      <c r="D589" s="11">
        <v>42284</v>
      </c>
      <c r="H589" s="12">
        <v>22</v>
      </c>
      <c r="I589" s="12">
        <v>33.037419999999997</v>
      </c>
      <c r="J589" s="12">
        <v>91.037419999999997</v>
      </c>
      <c r="K589" s="12">
        <v>23.3</v>
      </c>
      <c r="O589" s="12">
        <v>5</v>
      </c>
      <c r="Q589" s="12">
        <v>1409</v>
      </c>
      <c r="R589" s="12">
        <v>198</v>
      </c>
      <c r="S589" s="12">
        <v>19</v>
      </c>
      <c r="T589" s="12">
        <v>1</v>
      </c>
    </row>
    <row r="590" spans="1:20" x14ac:dyDescent="0.25">
      <c r="A590" s="12">
        <v>336</v>
      </c>
      <c r="B590" s="11">
        <v>42283</v>
      </c>
      <c r="D590" s="11">
        <v>42284</v>
      </c>
      <c r="H590" s="12">
        <v>22</v>
      </c>
      <c r="I590" s="12">
        <v>33.037419999999997</v>
      </c>
      <c r="J590" s="12">
        <v>91.037419999999997</v>
      </c>
      <c r="K590" s="12">
        <v>23.3</v>
      </c>
      <c r="O590" s="12">
        <v>5</v>
      </c>
      <c r="Q590" s="12">
        <v>1409</v>
      </c>
      <c r="R590" s="12">
        <v>189</v>
      </c>
      <c r="S590" s="12">
        <v>18</v>
      </c>
      <c r="T590" s="12">
        <v>1</v>
      </c>
    </row>
    <row r="591" spans="1:20" x14ac:dyDescent="0.25">
      <c r="A591" s="12">
        <v>336</v>
      </c>
      <c r="B591" s="11">
        <v>42283</v>
      </c>
      <c r="D591" s="11">
        <v>42284</v>
      </c>
      <c r="H591" s="12">
        <v>22</v>
      </c>
      <c r="I591" s="12">
        <v>33.037419999999997</v>
      </c>
      <c r="J591" s="12">
        <v>91.037419999999997</v>
      </c>
      <c r="K591" s="12">
        <v>23.3</v>
      </c>
      <c r="O591" s="12">
        <v>5</v>
      </c>
      <c r="Q591" s="12">
        <v>311</v>
      </c>
      <c r="R591" s="12">
        <v>308</v>
      </c>
      <c r="S591" s="12">
        <v>30</v>
      </c>
      <c r="T591" s="12">
        <v>1</v>
      </c>
    </row>
  </sheetData>
  <sheetProtection algorithmName="SHA-512" hashValue="aQfuxTABzX+u7wFvYgjfI9S3hWy1tLBF+QT5nVv5sPrqFrjYnwTpkjKsHfa0kLZsJ2u/tYiLK9Yzw2W1iJkiQA==" saltValue="o5HM8OnwHDHUWUuTGAaFWw==" spinCount="100000" sheet="1" objects="1" scenarios="1" formatCells="0" formatColumns="0" formatRow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_Click">
                <anchor moveWithCells="1">
                  <from>
                    <xdr:col>22</xdr:col>
                    <xdr:colOff>428625</xdr:colOff>
                    <xdr:row>3</xdr:row>
                    <xdr:rowOff>85725</xdr:rowOff>
                  </from>
                  <to>
                    <xdr:col>23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As3_Click">
                <anchor moveWithCells="1" sizeWithCells="1">
                  <from>
                    <xdr:col>22</xdr:col>
                    <xdr:colOff>466725</xdr:colOff>
                    <xdr:row>7</xdr:row>
                    <xdr:rowOff>66675</xdr:rowOff>
                  </from>
                  <to>
                    <xdr:col>23</xdr:col>
                    <xdr:colOff>409575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82"/>
  <sheetViews>
    <sheetView topLeftCell="E1" workbookViewId="0">
      <selection activeCell="L12" sqref="L12"/>
    </sheetView>
  </sheetViews>
  <sheetFormatPr defaultRowHeight="15" x14ac:dyDescent="0.25"/>
  <cols>
    <col min="1" max="1" width="5.140625" bestFit="1" customWidth="1"/>
    <col min="2" max="2" width="29.28515625" bestFit="1" customWidth="1"/>
    <col min="5" max="5" width="5.140625" bestFit="1" customWidth="1"/>
    <col min="6" max="6" width="24" bestFit="1" customWidth="1"/>
    <col min="8" max="8" width="5.140625" bestFit="1" customWidth="1"/>
    <col min="9" max="9" width="28.28515625" bestFit="1" customWidth="1"/>
    <col min="10" max="10" width="5.140625" bestFit="1" customWidth="1"/>
    <col min="11" max="11" width="37.5703125" bestFit="1" customWidth="1"/>
    <col min="13" max="13" width="5.5703125" bestFit="1" customWidth="1"/>
    <col min="14" max="14" width="13.28515625" bestFit="1" customWidth="1"/>
    <col min="17" max="17" width="13" bestFit="1" customWidth="1"/>
  </cols>
  <sheetData>
    <row r="1" spans="1:17" thickBot="1" x14ac:dyDescent="0.4">
      <c r="A1" t="s">
        <v>31</v>
      </c>
      <c r="B1" t="s">
        <v>32</v>
      </c>
      <c r="E1" t="s">
        <v>31</v>
      </c>
      <c r="F1" t="s">
        <v>33</v>
      </c>
      <c r="H1" t="s">
        <v>31</v>
      </c>
      <c r="I1" s="1" t="s">
        <v>34</v>
      </c>
      <c r="J1" t="s">
        <v>31</v>
      </c>
      <c r="K1" s="2" t="s">
        <v>35</v>
      </c>
      <c r="M1" s="6" t="s">
        <v>840</v>
      </c>
      <c r="N1" s="6" t="s">
        <v>4</v>
      </c>
      <c r="Q1" t="s">
        <v>846</v>
      </c>
    </row>
    <row r="2" spans="1:17" thickBot="1" x14ac:dyDescent="0.4">
      <c r="A2">
        <v>0</v>
      </c>
      <c r="B2" t="s">
        <v>36</v>
      </c>
      <c r="E2">
        <v>5</v>
      </c>
      <c r="F2" t="s">
        <v>37</v>
      </c>
      <c r="H2">
        <v>1</v>
      </c>
      <c r="I2" s="3" t="s">
        <v>38</v>
      </c>
      <c r="J2">
        <v>1</v>
      </c>
      <c r="K2" s="4" t="s">
        <v>39</v>
      </c>
      <c r="M2" s="6">
        <v>1</v>
      </c>
      <c r="N2" s="6" t="s">
        <v>841</v>
      </c>
      <c r="Q2" s="5" t="s">
        <v>847</v>
      </c>
    </row>
    <row r="3" spans="1:17" thickBot="1" x14ac:dyDescent="0.4">
      <c r="A3">
        <v>100</v>
      </c>
      <c r="B3" t="s">
        <v>40</v>
      </c>
      <c r="E3">
        <v>7</v>
      </c>
      <c r="F3" t="s">
        <v>41</v>
      </c>
      <c r="H3">
        <v>2</v>
      </c>
      <c r="I3" s="3" t="s">
        <v>42</v>
      </c>
      <c r="J3">
        <v>2</v>
      </c>
      <c r="K3" s="3" t="s">
        <v>43</v>
      </c>
      <c r="M3" s="6">
        <v>2</v>
      </c>
      <c r="N3" s="6" t="s">
        <v>842</v>
      </c>
      <c r="Q3" s="5">
        <v>0.5</v>
      </c>
    </row>
    <row r="4" spans="1:17" thickBot="1" x14ac:dyDescent="0.4">
      <c r="A4">
        <v>101</v>
      </c>
      <c r="B4" t="s">
        <v>44</v>
      </c>
      <c r="E4">
        <v>9</v>
      </c>
      <c r="F4" t="s">
        <v>45</v>
      </c>
      <c r="H4">
        <v>3</v>
      </c>
      <c r="I4" s="3" t="s">
        <v>46</v>
      </c>
      <c r="J4">
        <v>3</v>
      </c>
      <c r="K4" s="3" t="s">
        <v>47</v>
      </c>
      <c r="M4" s="6">
        <v>3</v>
      </c>
      <c r="N4" s="6" t="s">
        <v>844</v>
      </c>
      <c r="Q4" s="5">
        <v>0.75</v>
      </c>
    </row>
    <row r="5" spans="1:17" thickBot="1" x14ac:dyDescent="0.4">
      <c r="A5">
        <v>102</v>
      </c>
      <c r="B5" t="s">
        <v>48</v>
      </c>
      <c r="E5">
        <v>10</v>
      </c>
      <c r="F5" t="s">
        <v>49</v>
      </c>
      <c r="H5">
        <v>4</v>
      </c>
      <c r="I5" s="4" t="s">
        <v>50</v>
      </c>
      <c r="J5">
        <v>4</v>
      </c>
      <c r="K5" s="3" t="s">
        <v>51</v>
      </c>
      <c r="M5" s="6">
        <v>4</v>
      </c>
      <c r="N5" s="6" t="s">
        <v>845</v>
      </c>
      <c r="Q5" s="5">
        <v>1</v>
      </c>
    </row>
    <row r="6" spans="1:17" thickBot="1" x14ac:dyDescent="0.4">
      <c r="A6">
        <v>103</v>
      </c>
      <c r="B6" t="s">
        <v>52</v>
      </c>
      <c r="E6">
        <v>202</v>
      </c>
      <c r="F6" t="s">
        <v>53</v>
      </c>
      <c r="H6">
        <v>5</v>
      </c>
      <c r="I6" s="4" t="s">
        <v>54</v>
      </c>
      <c r="J6">
        <v>5</v>
      </c>
      <c r="K6" s="3" t="s">
        <v>55</v>
      </c>
      <c r="M6" s="6">
        <v>5</v>
      </c>
      <c r="N6" s="6" t="s">
        <v>848</v>
      </c>
      <c r="Q6" s="5">
        <v>1.25</v>
      </c>
    </row>
    <row r="7" spans="1:17" thickBot="1" x14ac:dyDescent="0.4">
      <c r="A7">
        <v>104</v>
      </c>
      <c r="B7" t="s">
        <v>56</v>
      </c>
      <c r="E7">
        <v>204</v>
      </c>
      <c r="F7" t="s">
        <v>57</v>
      </c>
      <c r="H7">
        <v>6</v>
      </c>
      <c r="I7" s="4" t="s">
        <v>58</v>
      </c>
      <c r="J7">
        <v>6</v>
      </c>
      <c r="K7" s="3" t="s">
        <v>59</v>
      </c>
      <c r="M7" s="6">
        <v>6</v>
      </c>
      <c r="N7" s="6" t="s">
        <v>843</v>
      </c>
      <c r="Q7" s="5">
        <v>1.5</v>
      </c>
    </row>
    <row r="8" spans="1:17" thickBot="1" x14ac:dyDescent="0.4">
      <c r="A8">
        <v>105</v>
      </c>
      <c r="B8" t="s">
        <v>60</v>
      </c>
      <c r="E8">
        <v>206</v>
      </c>
      <c r="F8" t="s">
        <v>61</v>
      </c>
      <c r="H8">
        <v>7</v>
      </c>
      <c r="I8" s="4" t="s">
        <v>62</v>
      </c>
      <c r="J8">
        <v>7</v>
      </c>
      <c r="K8" s="3" t="s">
        <v>63</v>
      </c>
      <c r="Q8" s="5">
        <v>1.75</v>
      </c>
    </row>
    <row r="9" spans="1:17" thickBot="1" x14ac:dyDescent="0.4">
      <c r="A9">
        <v>106</v>
      </c>
      <c r="B9" t="s">
        <v>64</v>
      </c>
      <c r="E9">
        <v>207</v>
      </c>
      <c r="F9" t="s">
        <v>65</v>
      </c>
      <c r="H9">
        <v>8</v>
      </c>
      <c r="I9" s="4" t="s">
        <v>66</v>
      </c>
      <c r="J9">
        <v>8</v>
      </c>
      <c r="K9" s="3" t="s">
        <v>67</v>
      </c>
      <c r="Q9" s="5">
        <v>2</v>
      </c>
    </row>
    <row r="10" spans="1:17" thickBot="1" x14ac:dyDescent="0.4">
      <c r="A10">
        <v>107</v>
      </c>
      <c r="B10" t="s">
        <v>68</v>
      </c>
      <c r="E10">
        <v>215</v>
      </c>
      <c r="F10" t="s">
        <v>69</v>
      </c>
      <c r="H10">
        <v>9</v>
      </c>
      <c r="I10" s="4" t="s">
        <v>70</v>
      </c>
      <c r="J10">
        <v>9</v>
      </c>
      <c r="K10" s="3" t="s">
        <v>71</v>
      </c>
      <c r="Q10" s="5">
        <v>2.25</v>
      </c>
    </row>
    <row r="11" spans="1:17" thickBot="1" x14ac:dyDescent="0.4">
      <c r="A11">
        <v>108</v>
      </c>
      <c r="B11" t="s">
        <v>72</v>
      </c>
      <c r="E11">
        <v>216</v>
      </c>
      <c r="F11" t="s">
        <v>73</v>
      </c>
      <c r="H11">
        <v>10</v>
      </c>
      <c r="I11" s="4" t="s">
        <v>74</v>
      </c>
      <c r="J11">
        <v>10</v>
      </c>
      <c r="K11" s="1" t="s">
        <v>75</v>
      </c>
      <c r="Q11" s="5">
        <v>2.5</v>
      </c>
    </row>
    <row r="12" spans="1:17" thickBot="1" x14ac:dyDescent="0.4">
      <c r="A12">
        <v>109</v>
      </c>
      <c r="B12" t="s">
        <v>76</v>
      </c>
      <c r="E12">
        <v>217</v>
      </c>
      <c r="F12" t="s">
        <v>77</v>
      </c>
      <c r="H12">
        <v>11</v>
      </c>
      <c r="I12" s="4" t="s">
        <v>78</v>
      </c>
      <c r="J12">
        <v>11</v>
      </c>
      <c r="K12" s="1" t="s">
        <v>79</v>
      </c>
    </row>
    <row r="13" spans="1:17" thickBot="1" x14ac:dyDescent="0.4">
      <c r="A13">
        <v>110</v>
      </c>
      <c r="B13" t="s">
        <v>80</v>
      </c>
      <c r="E13">
        <v>218</v>
      </c>
      <c r="F13" t="s">
        <v>81</v>
      </c>
      <c r="H13">
        <v>12</v>
      </c>
      <c r="I13" s="4" t="s">
        <v>82</v>
      </c>
      <c r="J13">
        <v>12</v>
      </c>
      <c r="K13" s="1" t="s">
        <v>83</v>
      </c>
    </row>
    <row r="14" spans="1:17" thickBot="1" x14ac:dyDescent="0.4">
      <c r="A14">
        <v>111</v>
      </c>
      <c r="B14" t="s">
        <v>84</v>
      </c>
      <c r="E14">
        <v>220</v>
      </c>
      <c r="F14" t="s">
        <v>85</v>
      </c>
      <c r="H14">
        <v>13</v>
      </c>
      <c r="I14" s="4" t="s">
        <v>86</v>
      </c>
      <c r="J14">
        <v>13</v>
      </c>
      <c r="K14" s="1" t="s">
        <v>87</v>
      </c>
    </row>
    <row r="15" spans="1:17" thickBot="1" x14ac:dyDescent="0.4">
      <c r="A15">
        <v>112</v>
      </c>
      <c r="B15" t="s">
        <v>88</v>
      </c>
      <c r="E15">
        <v>221</v>
      </c>
      <c r="F15" t="s">
        <v>89</v>
      </c>
      <c r="H15">
        <v>14</v>
      </c>
      <c r="I15" s="4" t="s">
        <v>90</v>
      </c>
      <c r="J15">
        <v>14</v>
      </c>
      <c r="K15" s="3" t="s">
        <v>91</v>
      </c>
    </row>
    <row r="16" spans="1:17" thickBot="1" x14ac:dyDescent="0.4">
      <c r="A16">
        <v>113</v>
      </c>
      <c r="B16" t="s">
        <v>92</v>
      </c>
      <c r="E16">
        <v>224</v>
      </c>
      <c r="F16" t="s">
        <v>93</v>
      </c>
      <c r="H16">
        <v>15</v>
      </c>
      <c r="I16" s="4" t="s">
        <v>94</v>
      </c>
      <c r="J16">
        <v>15</v>
      </c>
      <c r="K16" s="3" t="s">
        <v>95</v>
      </c>
    </row>
    <row r="17" spans="1:11" thickBot="1" x14ac:dyDescent="0.4">
      <c r="A17">
        <v>114</v>
      </c>
      <c r="B17" t="s">
        <v>96</v>
      </c>
      <c r="E17">
        <v>231</v>
      </c>
      <c r="F17" t="s">
        <v>97</v>
      </c>
      <c r="H17">
        <v>16</v>
      </c>
      <c r="I17" s="4" t="s">
        <v>98</v>
      </c>
      <c r="J17">
        <v>16</v>
      </c>
      <c r="K17" s="3" t="s">
        <v>99</v>
      </c>
    </row>
    <row r="18" spans="1:11" thickBot="1" x14ac:dyDescent="0.4">
      <c r="A18">
        <v>115</v>
      </c>
      <c r="B18" t="s">
        <v>100</v>
      </c>
      <c r="E18">
        <v>300</v>
      </c>
      <c r="F18" t="s">
        <v>101</v>
      </c>
      <c r="H18">
        <v>17</v>
      </c>
      <c r="I18" s="3" t="s">
        <v>102</v>
      </c>
      <c r="J18">
        <v>17</v>
      </c>
      <c r="K18" s="3" t="s">
        <v>103</v>
      </c>
    </row>
    <row r="19" spans="1:11" thickBot="1" x14ac:dyDescent="0.4">
      <c r="A19">
        <v>116</v>
      </c>
      <c r="B19" t="s">
        <v>104</v>
      </c>
      <c r="E19">
        <v>301</v>
      </c>
      <c r="F19" t="s">
        <v>105</v>
      </c>
      <c r="H19">
        <v>18</v>
      </c>
      <c r="I19" s="4" t="s">
        <v>106</v>
      </c>
      <c r="J19">
        <v>18</v>
      </c>
      <c r="K19" s="3" t="s">
        <v>107</v>
      </c>
    </row>
    <row r="20" spans="1:11" thickBot="1" x14ac:dyDescent="0.4">
      <c r="A20">
        <v>117</v>
      </c>
      <c r="B20" t="s">
        <v>108</v>
      </c>
      <c r="E20">
        <v>311</v>
      </c>
      <c r="F20" t="s">
        <v>109</v>
      </c>
      <c r="H20">
        <v>19</v>
      </c>
      <c r="I20" s="4" t="s">
        <v>110</v>
      </c>
      <c r="J20">
        <v>19</v>
      </c>
      <c r="K20" s="3" t="s">
        <v>111</v>
      </c>
    </row>
    <row r="21" spans="1:11" thickBot="1" x14ac:dyDescent="0.4">
      <c r="A21">
        <v>118</v>
      </c>
      <c r="B21" t="s">
        <v>112</v>
      </c>
      <c r="E21">
        <v>312</v>
      </c>
      <c r="F21" t="s">
        <v>113</v>
      </c>
      <c r="H21">
        <v>20</v>
      </c>
      <c r="I21" s="4" t="s">
        <v>114</v>
      </c>
      <c r="J21">
        <v>20</v>
      </c>
      <c r="K21" s="3" t="s">
        <v>115</v>
      </c>
    </row>
    <row r="22" spans="1:11" thickBot="1" x14ac:dyDescent="0.4">
      <c r="A22">
        <v>119</v>
      </c>
      <c r="B22" t="s">
        <v>116</v>
      </c>
      <c r="E22">
        <v>313</v>
      </c>
      <c r="F22" t="s">
        <v>117</v>
      </c>
      <c r="H22">
        <v>21</v>
      </c>
      <c r="I22" s="4" t="s">
        <v>118</v>
      </c>
      <c r="J22">
        <v>21</v>
      </c>
      <c r="K22" s="3" t="s">
        <v>119</v>
      </c>
    </row>
    <row r="23" spans="1:11" thickBot="1" x14ac:dyDescent="0.4">
      <c r="A23">
        <v>120</v>
      </c>
      <c r="B23" t="s">
        <v>120</v>
      </c>
      <c r="E23">
        <v>344</v>
      </c>
      <c r="F23" t="s">
        <v>121</v>
      </c>
      <c r="H23">
        <v>22</v>
      </c>
      <c r="I23" s="4" t="s">
        <v>122</v>
      </c>
      <c r="J23">
        <v>22</v>
      </c>
      <c r="K23" s="3" t="s">
        <v>123</v>
      </c>
    </row>
    <row r="24" spans="1:11" ht="15.75" thickBot="1" x14ac:dyDescent="0.3">
      <c r="A24">
        <v>121</v>
      </c>
      <c r="B24" t="s">
        <v>124</v>
      </c>
      <c r="E24">
        <v>345</v>
      </c>
      <c r="F24" t="s">
        <v>125</v>
      </c>
      <c r="H24">
        <v>23</v>
      </c>
      <c r="I24" s="3" t="s">
        <v>126</v>
      </c>
      <c r="J24">
        <v>23</v>
      </c>
      <c r="K24" s="3" t="s">
        <v>127</v>
      </c>
    </row>
    <row r="25" spans="1:11" ht="15.75" thickBot="1" x14ac:dyDescent="0.3">
      <c r="A25">
        <v>122</v>
      </c>
      <c r="B25" t="s">
        <v>128</v>
      </c>
      <c r="E25">
        <v>378</v>
      </c>
      <c r="F25" t="s">
        <v>129</v>
      </c>
      <c r="H25">
        <v>24</v>
      </c>
      <c r="I25" s="3" t="s">
        <v>130</v>
      </c>
      <c r="J25">
        <v>24</v>
      </c>
      <c r="K25" s="4" t="s">
        <v>131</v>
      </c>
    </row>
    <row r="26" spans="1:11" ht="15.75" thickBot="1" x14ac:dyDescent="0.3">
      <c r="A26">
        <v>123</v>
      </c>
      <c r="B26" t="s">
        <v>132</v>
      </c>
      <c r="E26">
        <v>396</v>
      </c>
      <c r="F26" t="s">
        <v>133</v>
      </c>
      <c r="H26">
        <v>25</v>
      </c>
      <c r="I26" s="4" t="s">
        <v>134</v>
      </c>
      <c r="J26">
        <v>25</v>
      </c>
      <c r="K26" s="3" t="s">
        <v>135</v>
      </c>
    </row>
    <row r="27" spans="1:11" ht="15.75" thickBot="1" x14ac:dyDescent="0.3">
      <c r="A27">
        <v>124</v>
      </c>
      <c r="B27" t="s">
        <v>136</v>
      </c>
      <c r="E27">
        <v>415</v>
      </c>
      <c r="F27" t="s">
        <v>137</v>
      </c>
      <c r="J27">
        <v>26</v>
      </c>
      <c r="K27" s="3" t="s">
        <v>138</v>
      </c>
    </row>
    <row r="28" spans="1:11" ht="15.75" thickBot="1" x14ac:dyDescent="0.3">
      <c r="A28">
        <v>125</v>
      </c>
      <c r="B28" t="s">
        <v>139</v>
      </c>
      <c r="E28">
        <v>419</v>
      </c>
      <c r="F28" t="s">
        <v>140</v>
      </c>
      <c r="J28">
        <v>27</v>
      </c>
      <c r="K28" s="3" t="s">
        <v>141</v>
      </c>
    </row>
    <row r="29" spans="1:11" ht="15.75" thickBot="1" x14ac:dyDescent="0.3">
      <c r="A29">
        <v>126</v>
      </c>
      <c r="B29" t="s">
        <v>142</v>
      </c>
      <c r="E29">
        <v>420</v>
      </c>
      <c r="F29" t="s">
        <v>143</v>
      </c>
      <c r="J29">
        <v>28</v>
      </c>
      <c r="K29" s="3" t="s">
        <v>144</v>
      </c>
    </row>
    <row r="30" spans="1:11" ht="15.75" thickBot="1" x14ac:dyDescent="0.3">
      <c r="A30">
        <v>127</v>
      </c>
      <c r="B30" t="s">
        <v>145</v>
      </c>
      <c r="E30">
        <v>446</v>
      </c>
      <c r="F30" t="s">
        <v>146</v>
      </c>
      <c r="J30">
        <v>29</v>
      </c>
      <c r="K30" s="3" t="s">
        <v>126</v>
      </c>
    </row>
    <row r="31" spans="1:11" ht="15.75" thickBot="1" x14ac:dyDescent="0.3">
      <c r="A31">
        <v>128</v>
      </c>
      <c r="B31" t="s">
        <v>147</v>
      </c>
      <c r="E31">
        <v>447</v>
      </c>
      <c r="F31" t="s">
        <v>148</v>
      </c>
      <c r="J31">
        <v>30</v>
      </c>
      <c r="K31" s="3" t="s">
        <v>130</v>
      </c>
    </row>
    <row r="32" spans="1:11" x14ac:dyDescent="0.25">
      <c r="A32">
        <v>129</v>
      </c>
      <c r="B32" t="s">
        <v>149</v>
      </c>
      <c r="E32">
        <v>448</v>
      </c>
      <c r="F32" t="s">
        <v>150</v>
      </c>
    </row>
    <row r="33" spans="1:6" x14ac:dyDescent="0.25">
      <c r="A33">
        <v>130</v>
      </c>
      <c r="B33" t="s">
        <v>151</v>
      </c>
      <c r="E33">
        <v>449</v>
      </c>
      <c r="F33" t="s">
        <v>152</v>
      </c>
    </row>
    <row r="34" spans="1:6" x14ac:dyDescent="0.25">
      <c r="A34">
        <v>131</v>
      </c>
      <c r="B34" t="s">
        <v>153</v>
      </c>
      <c r="E34">
        <v>450</v>
      </c>
      <c r="F34" t="s">
        <v>154</v>
      </c>
    </row>
    <row r="35" spans="1:6" x14ac:dyDescent="0.25">
      <c r="A35">
        <v>132</v>
      </c>
      <c r="B35" t="s">
        <v>155</v>
      </c>
      <c r="E35">
        <v>460</v>
      </c>
      <c r="F35" t="s">
        <v>156</v>
      </c>
    </row>
    <row r="36" spans="1:6" x14ac:dyDescent="0.25">
      <c r="A36">
        <v>133</v>
      </c>
      <c r="B36" t="s">
        <v>157</v>
      </c>
      <c r="E36">
        <v>463</v>
      </c>
      <c r="F36" t="s">
        <v>158</v>
      </c>
    </row>
    <row r="37" spans="1:6" x14ac:dyDescent="0.25">
      <c r="A37">
        <v>134</v>
      </c>
      <c r="B37" t="s">
        <v>159</v>
      </c>
      <c r="E37">
        <v>465</v>
      </c>
      <c r="F37" t="s">
        <v>160</v>
      </c>
    </row>
    <row r="38" spans="1:6" x14ac:dyDescent="0.25">
      <c r="A38">
        <v>135</v>
      </c>
      <c r="B38" t="s">
        <v>161</v>
      </c>
      <c r="E38">
        <v>468</v>
      </c>
      <c r="F38" t="s">
        <v>162</v>
      </c>
    </row>
    <row r="39" spans="1:6" x14ac:dyDescent="0.25">
      <c r="A39">
        <v>136</v>
      </c>
      <c r="B39" t="s">
        <v>163</v>
      </c>
      <c r="E39">
        <v>469</v>
      </c>
      <c r="F39" t="s">
        <v>164</v>
      </c>
    </row>
    <row r="40" spans="1:6" x14ac:dyDescent="0.25">
      <c r="A40">
        <v>137</v>
      </c>
      <c r="B40" t="s">
        <v>165</v>
      </c>
      <c r="E40">
        <v>472</v>
      </c>
      <c r="F40" t="s">
        <v>166</v>
      </c>
    </row>
    <row r="41" spans="1:6" x14ac:dyDescent="0.25">
      <c r="A41">
        <v>138</v>
      </c>
      <c r="B41" t="s">
        <v>167</v>
      </c>
      <c r="E41">
        <v>494</v>
      </c>
      <c r="F41" t="s">
        <v>168</v>
      </c>
    </row>
    <row r="42" spans="1:6" x14ac:dyDescent="0.25">
      <c r="A42">
        <v>139</v>
      </c>
      <c r="B42" t="s">
        <v>169</v>
      </c>
      <c r="E42">
        <v>495</v>
      </c>
      <c r="F42" t="s">
        <v>170</v>
      </c>
    </row>
    <row r="43" spans="1:6" x14ac:dyDescent="0.25">
      <c r="A43">
        <v>140</v>
      </c>
      <c r="B43" t="s">
        <v>171</v>
      </c>
      <c r="E43">
        <v>498</v>
      </c>
      <c r="F43" t="s">
        <v>172</v>
      </c>
    </row>
    <row r="44" spans="1:6" x14ac:dyDescent="0.25">
      <c r="A44">
        <v>141</v>
      </c>
      <c r="B44" t="s">
        <v>173</v>
      </c>
      <c r="E44">
        <v>499</v>
      </c>
      <c r="F44" t="s">
        <v>174</v>
      </c>
    </row>
    <row r="45" spans="1:6" x14ac:dyDescent="0.25">
      <c r="A45">
        <v>142</v>
      </c>
      <c r="B45" t="s">
        <v>175</v>
      </c>
      <c r="E45">
        <v>503</v>
      </c>
      <c r="F45" t="s">
        <v>176</v>
      </c>
    </row>
    <row r="46" spans="1:6" x14ac:dyDescent="0.25">
      <c r="A46">
        <v>143</v>
      </c>
      <c r="B46" t="s">
        <v>177</v>
      </c>
      <c r="E46">
        <v>504</v>
      </c>
      <c r="F46" t="s">
        <v>178</v>
      </c>
    </row>
    <row r="47" spans="1:6" x14ac:dyDescent="0.25">
      <c r="A47">
        <v>144</v>
      </c>
      <c r="B47" t="s">
        <v>179</v>
      </c>
      <c r="E47">
        <v>510</v>
      </c>
      <c r="F47" t="s">
        <v>180</v>
      </c>
    </row>
    <row r="48" spans="1:6" x14ac:dyDescent="0.25">
      <c r="A48">
        <v>145</v>
      </c>
      <c r="B48" t="s">
        <v>181</v>
      </c>
      <c r="E48">
        <v>513</v>
      </c>
      <c r="F48" t="s">
        <v>182</v>
      </c>
    </row>
    <row r="49" spans="1:6" x14ac:dyDescent="0.25">
      <c r="A49">
        <v>146</v>
      </c>
      <c r="B49" t="s">
        <v>183</v>
      </c>
      <c r="E49">
        <v>530</v>
      </c>
      <c r="F49" t="s">
        <v>184</v>
      </c>
    </row>
    <row r="50" spans="1:6" x14ac:dyDescent="0.25">
      <c r="A50">
        <v>147</v>
      </c>
      <c r="B50" t="s">
        <v>185</v>
      </c>
      <c r="E50">
        <v>534</v>
      </c>
      <c r="F50" t="s">
        <v>186</v>
      </c>
    </row>
    <row r="51" spans="1:6" x14ac:dyDescent="0.25">
      <c r="A51">
        <v>148</v>
      </c>
      <c r="B51" t="s">
        <v>187</v>
      </c>
      <c r="E51">
        <v>540</v>
      </c>
      <c r="F51" t="s">
        <v>188</v>
      </c>
    </row>
    <row r="52" spans="1:6" x14ac:dyDescent="0.25">
      <c r="A52">
        <v>149</v>
      </c>
      <c r="B52" t="s">
        <v>189</v>
      </c>
      <c r="E52">
        <v>544</v>
      </c>
      <c r="F52" t="s">
        <v>190</v>
      </c>
    </row>
    <row r="53" spans="1:6" x14ac:dyDescent="0.25">
      <c r="A53">
        <v>150</v>
      </c>
      <c r="B53" t="s">
        <v>191</v>
      </c>
      <c r="E53">
        <v>551</v>
      </c>
      <c r="F53" t="s">
        <v>192</v>
      </c>
    </row>
    <row r="54" spans="1:6" x14ac:dyDescent="0.25">
      <c r="A54">
        <v>151</v>
      </c>
      <c r="B54" t="s">
        <v>193</v>
      </c>
      <c r="E54">
        <v>554</v>
      </c>
      <c r="F54" t="s">
        <v>194</v>
      </c>
    </row>
    <row r="55" spans="1:6" x14ac:dyDescent="0.25">
      <c r="A55">
        <v>152</v>
      </c>
      <c r="B55" t="s">
        <v>195</v>
      </c>
      <c r="E55">
        <v>556</v>
      </c>
      <c r="F55" t="s">
        <v>196</v>
      </c>
    </row>
    <row r="56" spans="1:6" x14ac:dyDescent="0.25">
      <c r="A56">
        <v>153</v>
      </c>
      <c r="B56" t="s">
        <v>197</v>
      </c>
      <c r="E56">
        <v>558</v>
      </c>
      <c r="F56" t="s">
        <v>198</v>
      </c>
    </row>
    <row r="57" spans="1:6" x14ac:dyDescent="0.25">
      <c r="A57">
        <v>154</v>
      </c>
      <c r="B57" t="s">
        <v>199</v>
      </c>
      <c r="E57">
        <v>559</v>
      </c>
      <c r="F57" t="s">
        <v>200</v>
      </c>
    </row>
    <row r="58" spans="1:6" x14ac:dyDescent="0.25">
      <c r="A58">
        <v>155</v>
      </c>
      <c r="B58" t="s">
        <v>201</v>
      </c>
      <c r="E58">
        <v>562</v>
      </c>
      <c r="F58" t="s">
        <v>202</v>
      </c>
    </row>
    <row r="59" spans="1:6" x14ac:dyDescent="0.25">
      <c r="A59">
        <v>156</v>
      </c>
      <c r="B59" t="s">
        <v>203</v>
      </c>
      <c r="E59">
        <v>565</v>
      </c>
      <c r="F59" t="s">
        <v>204</v>
      </c>
    </row>
    <row r="60" spans="1:6" x14ac:dyDescent="0.25">
      <c r="A60">
        <v>157</v>
      </c>
      <c r="B60" t="s">
        <v>205</v>
      </c>
      <c r="E60">
        <v>567</v>
      </c>
      <c r="F60" t="s">
        <v>206</v>
      </c>
    </row>
    <row r="61" spans="1:6" x14ac:dyDescent="0.25">
      <c r="A61">
        <v>158</v>
      </c>
      <c r="B61" t="s">
        <v>207</v>
      </c>
      <c r="E61">
        <v>568</v>
      </c>
      <c r="F61" t="s">
        <v>208</v>
      </c>
    </row>
    <row r="62" spans="1:6" x14ac:dyDescent="0.25">
      <c r="A62">
        <v>159</v>
      </c>
      <c r="B62" t="s">
        <v>209</v>
      </c>
      <c r="E62">
        <v>570</v>
      </c>
      <c r="F62" t="s">
        <v>210</v>
      </c>
    </row>
    <row r="63" spans="1:6" x14ac:dyDescent="0.25">
      <c r="A63">
        <v>160</v>
      </c>
      <c r="B63" t="s">
        <v>211</v>
      </c>
      <c r="E63">
        <v>576</v>
      </c>
      <c r="F63" t="s">
        <v>212</v>
      </c>
    </row>
    <row r="64" spans="1:6" x14ac:dyDescent="0.25">
      <c r="A64">
        <v>161</v>
      </c>
      <c r="B64" t="s">
        <v>213</v>
      </c>
      <c r="E64">
        <v>578</v>
      </c>
      <c r="F64" t="s">
        <v>214</v>
      </c>
    </row>
    <row r="65" spans="1:6" x14ac:dyDescent="0.25">
      <c r="A65">
        <v>162</v>
      </c>
      <c r="B65" t="s">
        <v>215</v>
      </c>
      <c r="E65">
        <v>581</v>
      </c>
      <c r="F65" t="s">
        <v>216</v>
      </c>
    </row>
    <row r="66" spans="1:6" x14ac:dyDescent="0.25">
      <c r="A66">
        <v>163</v>
      </c>
      <c r="B66" t="s">
        <v>217</v>
      </c>
      <c r="E66">
        <v>582</v>
      </c>
      <c r="F66" t="s">
        <v>218</v>
      </c>
    </row>
    <row r="67" spans="1:6" x14ac:dyDescent="0.25">
      <c r="A67">
        <v>164</v>
      </c>
      <c r="B67" t="s">
        <v>219</v>
      </c>
      <c r="E67">
        <v>585</v>
      </c>
      <c r="F67" t="s">
        <v>220</v>
      </c>
    </row>
    <row r="68" spans="1:6" x14ac:dyDescent="0.25">
      <c r="A68">
        <v>165</v>
      </c>
      <c r="B68" t="s">
        <v>221</v>
      </c>
      <c r="E68">
        <v>586</v>
      </c>
      <c r="F68" t="s">
        <v>222</v>
      </c>
    </row>
    <row r="69" spans="1:6" x14ac:dyDescent="0.25">
      <c r="A69">
        <v>166</v>
      </c>
      <c r="B69" t="s">
        <v>223</v>
      </c>
      <c r="E69">
        <v>601</v>
      </c>
      <c r="F69" t="s">
        <v>224</v>
      </c>
    </row>
    <row r="70" spans="1:6" x14ac:dyDescent="0.25">
      <c r="A70">
        <v>167</v>
      </c>
      <c r="B70" t="s">
        <v>225</v>
      </c>
      <c r="E70">
        <v>603</v>
      </c>
      <c r="F70" t="s">
        <v>226</v>
      </c>
    </row>
    <row r="71" spans="1:6" x14ac:dyDescent="0.25">
      <c r="A71">
        <v>168</v>
      </c>
      <c r="B71" t="s">
        <v>227</v>
      </c>
      <c r="E71">
        <v>604</v>
      </c>
      <c r="F71" t="s">
        <v>228</v>
      </c>
    </row>
    <row r="72" spans="1:6" x14ac:dyDescent="0.25">
      <c r="A72">
        <v>169</v>
      </c>
      <c r="B72" t="s">
        <v>229</v>
      </c>
      <c r="E72">
        <v>612</v>
      </c>
      <c r="F72" t="s">
        <v>230</v>
      </c>
    </row>
    <row r="73" spans="1:6" x14ac:dyDescent="0.25">
      <c r="A73">
        <v>170</v>
      </c>
      <c r="B73" t="s">
        <v>231</v>
      </c>
      <c r="E73">
        <v>619</v>
      </c>
      <c r="F73" t="s">
        <v>232</v>
      </c>
    </row>
    <row r="74" spans="1:6" x14ac:dyDescent="0.25">
      <c r="A74">
        <v>171</v>
      </c>
      <c r="B74" t="s">
        <v>233</v>
      </c>
      <c r="E74">
        <v>620</v>
      </c>
      <c r="F74" t="s">
        <v>234</v>
      </c>
    </row>
    <row r="75" spans="1:6" x14ac:dyDescent="0.25">
      <c r="A75">
        <v>172</v>
      </c>
      <c r="B75" t="s">
        <v>235</v>
      </c>
      <c r="E75">
        <v>622</v>
      </c>
      <c r="F75" t="s">
        <v>236</v>
      </c>
    </row>
    <row r="76" spans="1:6" x14ac:dyDescent="0.25">
      <c r="A76">
        <v>173</v>
      </c>
      <c r="B76" t="s">
        <v>237</v>
      </c>
      <c r="E76">
        <v>626</v>
      </c>
      <c r="F76" t="s">
        <v>238</v>
      </c>
    </row>
    <row r="77" spans="1:6" x14ac:dyDescent="0.25">
      <c r="A77">
        <v>174</v>
      </c>
      <c r="B77" t="s">
        <v>239</v>
      </c>
      <c r="E77">
        <v>627</v>
      </c>
      <c r="F77" t="s">
        <v>240</v>
      </c>
    </row>
    <row r="78" spans="1:6" x14ac:dyDescent="0.25">
      <c r="A78">
        <v>175</v>
      </c>
      <c r="B78" t="s">
        <v>241</v>
      </c>
      <c r="E78">
        <v>630</v>
      </c>
      <c r="F78" t="s">
        <v>242</v>
      </c>
    </row>
    <row r="79" spans="1:6" x14ac:dyDescent="0.25">
      <c r="A79">
        <v>176</v>
      </c>
      <c r="B79" t="s">
        <v>243</v>
      </c>
      <c r="E79">
        <v>631</v>
      </c>
      <c r="F79" t="s">
        <v>244</v>
      </c>
    </row>
    <row r="80" spans="1:6" x14ac:dyDescent="0.25">
      <c r="A80">
        <v>177</v>
      </c>
      <c r="B80" t="s">
        <v>245</v>
      </c>
      <c r="E80">
        <v>634</v>
      </c>
      <c r="F80" t="s">
        <v>246</v>
      </c>
    </row>
    <row r="81" spans="1:6" x14ac:dyDescent="0.25">
      <c r="A81">
        <v>178</v>
      </c>
      <c r="B81" t="s">
        <v>247</v>
      </c>
      <c r="E81">
        <v>637</v>
      </c>
      <c r="F81" t="s">
        <v>248</v>
      </c>
    </row>
    <row r="82" spans="1:6" x14ac:dyDescent="0.25">
      <c r="A82">
        <v>179</v>
      </c>
      <c r="B82" t="s">
        <v>249</v>
      </c>
      <c r="E82">
        <v>639</v>
      </c>
      <c r="F82" t="s">
        <v>250</v>
      </c>
    </row>
    <row r="83" spans="1:6" x14ac:dyDescent="0.25">
      <c r="A83">
        <v>200</v>
      </c>
      <c r="B83" t="s">
        <v>251</v>
      </c>
      <c r="E83">
        <v>640</v>
      </c>
      <c r="F83" t="s">
        <v>252</v>
      </c>
    </row>
    <row r="84" spans="1:6" x14ac:dyDescent="0.25">
      <c r="A84">
        <v>201</v>
      </c>
      <c r="B84" t="s">
        <v>253</v>
      </c>
      <c r="E84">
        <v>641</v>
      </c>
      <c r="F84" t="s">
        <v>254</v>
      </c>
    </row>
    <row r="85" spans="1:6" x14ac:dyDescent="0.25">
      <c r="A85">
        <v>202</v>
      </c>
      <c r="B85" t="s">
        <v>255</v>
      </c>
      <c r="E85">
        <v>642</v>
      </c>
      <c r="F85" t="s">
        <v>256</v>
      </c>
    </row>
    <row r="86" spans="1:6" x14ac:dyDescent="0.25">
      <c r="A86">
        <v>203</v>
      </c>
      <c r="B86" t="s">
        <v>257</v>
      </c>
      <c r="E86">
        <v>643</v>
      </c>
      <c r="F86" t="s">
        <v>258</v>
      </c>
    </row>
    <row r="87" spans="1:6" x14ac:dyDescent="0.25">
      <c r="A87">
        <v>205</v>
      </c>
      <c r="B87" t="s">
        <v>259</v>
      </c>
      <c r="E87">
        <v>703</v>
      </c>
      <c r="F87" t="s">
        <v>260</v>
      </c>
    </row>
    <row r="88" spans="1:6" x14ac:dyDescent="0.25">
      <c r="A88">
        <v>206</v>
      </c>
      <c r="B88" t="s">
        <v>261</v>
      </c>
      <c r="E88">
        <v>708</v>
      </c>
      <c r="F88" t="s">
        <v>262</v>
      </c>
    </row>
    <row r="89" spans="1:6" x14ac:dyDescent="0.25">
      <c r="A89">
        <v>207</v>
      </c>
      <c r="B89" t="s">
        <v>263</v>
      </c>
      <c r="E89">
        <v>715</v>
      </c>
      <c r="F89" t="s">
        <v>264</v>
      </c>
    </row>
    <row r="90" spans="1:6" x14ac:dyDescent="0.25">
      <c r="A90">
        <v>208</v>
      </c>
      <c r="B90" t="s">
        <v>265</v>
      </c>
      <c r="E90">
        <v>716</v>
      </c>
      <c r="F90" t="s">
        <v>266</v>
      </c>
    </row>
    <row r="91" spans="1:6" x14ac:dyDescent="0.25">
      <c r="A91">
        <v>209</v>
      </c>
      <c r="B91" t="s">
        <v>267</v>
      </c>
      <c r="E91">
        <v>718</v>
      </c>
      <c r="F91" t="s">
        <v>268</v>
      </c>
    </row>
    <row r="92" spans="1:6" x14ac:dyDescent="0.25">
      <c r="A92">
        <v>210</v>
      </c>
      <c r="B92" t="s">
        <v>269</v>
      </c>
      <c r="E92">
        <v>720</v>
      </c>
      <c r="F92" t="s">
        <v>270</v>
      </c>
    </row>
    <row r="93" spans="1:6" x14ac:dyDescent="0.25">
      <c r="A93">
        <v>211</v>
      </c>
      <c r="B93" t="s">
        <v>271</v>
      </c>
      <c r="E93">
        <v>727</v>
      </c>
      <c r="F93" t="s">
        <v>272</v>
      </c>
    </row>
    <row r="94" spans="1:6" x14ac:dyDescent="0.25">
      <c r="A94">
        <v>212</v>
      </c>
      <c r="B94" t="s">
        <v>273</v>
      </c>
      <c r="E94">
        <v>736</v>
      </c>
      <c r="F94" t="s">
        <v>274</v>
      </c>
    </row>
    <row r="95" spans="1:6" x14ac:dyDescent="0.25">
      <c r="A95">
        <v>213</v>
      </c>
      <c r="B95" t="s">
        <v>275</v>
      </c>
      <c r="E95">
        <v>750</v>
      </c>
      <c r="F95" t="s">
        <v>276</v>
      </c>
    </row>
    <row r="96" spans="1:6" x14ac:dyDescent="0.25">
      <c r="A96">
        <v>214</v>
      </c>
      <c r="B96" t="s">
        <v>277</v>
      </c>
      <c r="E96">
        <v>798</v>
      </c>
      <c r="F96" t="s">
        <v>278</v>
      </c>
    </row>
    <row r="97" spans="1:6" x14ac:dyDescent="0.25">
      <c r="A97">
        <v>215</v>
      </c>
      <c r="B97" t="s">
        <v>279</v>
      </c>
      <c r="E97">
        <v>799</v>
      </c>
      <c r="F97" t="s">
        <v>280</v>
      </c>
    </row>
    <row r="98" spans="1:6" x14ac:dyDescent="0.25">
      <c r="A98">
        <v>216</v>
      </c>
      <c r="B98" t="s">
        <v>281</v>
      </c>
      <c r="E98">
        <v>800</v>
      </c>
      <c r="F98" t="s">
        <v>282</v>
      </c>
    </row>
    <row r="99" spans="1:6" x14ac:dyDescent="0.25">
      <c r="A99">
        <v>217</v>
      </c>
      <c r="B99" t="s">
        <v>283</v>
      </c>
      <c r="E99">
        <v>801</v>
      </c>
      <c r="F99" t="s">
        <v>284</v>
      </c>
    </row>
    <row r="100" spans="1:6" x14ac:dyDescent="0.25">
      <c r="A100">
        <v>218</v>
      </c>
      <c r="B100" t="s">
        <v>285</v>
      </c>
      <c r="E100">
        <v>802</v>
      </c>
      <c r="F100" t="s">
        <v>286</v>
      </c>
    </row>
    <row r="101" spans="1:6" x14ac:dyDescent="0.25">
      <c r="A101">
        <v>219</v>
      </c>
      <c r="B101" t="s">
        <v>287</v>
      </c>
      <c r="E101">
        <v>808</v>
      </c>
      <c r="F101" t="s">
        <v>288</v>
      </c>
    </row>
    <row r="102" spans="1:6" x14ac:dyDescent="0.25">
      <c r="A102">
        <v>220</v>
      </c>
      <c r="B102" t="s">
        <v>289</v>
      </c>
      <c r="E102">
        <v>827</v>
      </c>
      <c r="F102" t="s">
        <v>290</v>
      </c>
    </row>
    <row r="103" spans="1:6" x14ac:dyDescent="0.25">
      <c r="A103">
        <v>221</v>
      </c>
      <c r="B103" t="s">
        <v>291</v>
      </c>
      <c r="E103">
        <v>828</v>
      </c>
      <c r="F103" t="s">
        <v>292</v>
      </c>
    </row>
    <row r="104" spans="1:6" x14ac:dyDescent="0.25">
      <c r="A104">
        <v>222</v>
      </c>
      <c r="B104" t="s">
        <v>293</v>
      </c>
      <c r="E104">
        <v>829</v>
      </c>
      <c r="F104" t="s">
        <v>294</v>
      </c>
    </row>
    <row r="105" spans="1:6" x14ac:dyDescent="0.25">
      <c r="A105">
        <v>223</v>
      </c>
      <c r="B105" t="s">
        <v>295</v>
      </c>
      <c r="E105">
        <v>830</v>
      </c>
      <c r="F105" t="s">
        <v>296</v>
      </c>
    </row>
    <row r="106" spans="1:6" x14ac:dyDescent="0.25">
      <c r="A106">
        <v>224</v>
      </c>
      <c r="B106" t="s">
        <v>297</v>
      </c>
      <c r="E106">
        <v>831</v>
      </c>
      <c r="F106" t="s">
        <v>298</v>
      </c>
    </row>
    <row r="107" spans="1:6" x14ac:dyDescent="0.25">
      <c r="A107">
        <v>225</v>
      </c>
      <c r="B107" t="s">
        <v>299</v>
      </c>
      <c r="E107">
        <v>832</v>
      </c>
      <c r="F107" t="s">
        <v>300</v>
      </c>
    </row>
    <row r="108" spans="1:6" x14ac:dyDescent="0.25">
      <c r="A108">
        <v>226</v>
      </c>
      <c r="B108" t="s">
        <v>301</v>
      </c>
      <c r="E108">
        <v>833</v>
      </c>
      <c r="F108" t="s">
        <v>302</v>
      </c>
    </row>
    <row r="109" spans="1:6" x14ac:dyDescent="0.25">
      <c r="A109">
        <v>227</v>
      </c>
      <c r="B109" t="s">
        <v>303</v>
      </c>
      <c r="E109">
        <v>834</v>
      </c>
      <c r="F109" t="s">
        <v>304</v>
      </c>
    </row>
    <row r="110" spans="1:6" x14ac:dyDescent="0.25">
      <c r="A110">
        <v>228</v>
      </c>
      <c r="B110" t="s">
        <v>305</v>
      </c>
      <c r="E110">
        <v>835</v>
      </c>
      <c r="F110" t="s">
        <v>306</v>
      </c>
    </row>
    <row r="111" spans="1:6" x14ac:dyDescent="0.25">
      <c r="A111">
        <v>229</v>
      </c>
      <c r="B111" t="s">
        <v>307</v>
      </c>
      <c r="E111">
        <v>836</v>
      </c>
      <c r="F111" t="s">
        <v>308</v>
      </c>
    </row>
    <row r="112" spans="1:6" x14ac:dyDescent="0.25">
      <c r="A112">
        <v>230</v>
      </c>
      <c r="B112" t="s">
        <v>309</v>
      </c>
      <c r="E112">
        <v>837</v>
      </c>
      <c r="F112" t="s">
        <v>310</v>
      </c>
    </row>
    <row r="113" spans="1:6" x14ac:dyDescent="0.25">
      <c r="A113">
        <v>231</v>
      </c>
      <c r="B113" t="s">
        <v>311</v>
      </c>
      <c r="E113">
        <v>839</v>
      </c>
      <c r="F113" t="s">
        <v>312</v>
      </c>
    </row>
    <row r="114" spans="1:6" x14ac:dyDescent="0.25">
      <c r="A114">
        <v>232</v>
      </c>
      <c r="B114" t="s">
        <v>313</v>
      </c>
      <c r="E114">
        <v>840</v>
      </c>
      <c r="F114" t="s">
        <v>314</v>
      </c>
    </row>
    <row r="115" spans="1:6" x14ac:dyDescent="0.25">
      <c r="A115">
        <v>233</v>
      </c>
      <c r="B115" t="s">
        <v>315</v>
      </c>
      <c r="E115">
        <v>843</v>
      </c>
      <c r="F115" t="s">
        <v>316</v>
      </c>
    </row>
    <row r="116" spans="1:6" x14ac:dyDescent="0.25">
      <c r="A116">
        <v>234</v>
      </c>
      <c r="B116" t="s">
        <v>317</v>
      </c>
      <c r="E116">
        <v>846</v>
      </c>
      <c r="F116" t="s">
        <v>318</v>
      </c>
    </row>
    <row r="117" spans="1:6" x14ac:dyDescent="0.25">
      <c r="A117">
        <v>235</v>
      </c>
      <c r="B117" t="s">
        <v>319</v>
      </c>
      <c r="E117">
        <v>847</v>
      </c>
      <c r="F117" t="s">
        <v>320</v>
      </c>
    </row>
    <row r="118" spans="1:6" x14ac:dyDescent="0.25">
      <c r="A118">
        <v>236</v>
      </c>
      <c r="B118" t="s">
        <v>321</v>
      </c>
      <c r="E118">
        <v>851</v>
      </c>
      <c r="F118" t="s">
        <v>322</v>
      </c>
    </row>
    <row r="119" spans="1:6" x14ac:dyDescent="0.25">
      <c r="A119">
        <v>237</v>
      </c>
      <c r="B119" t="s">
        <v>323</v>
      </c>
      <c r="E119">
        <v>853</v>
      </c>
      <c r="F119" t="s">
        <v>324</v>
      </c>
    </row>
    <row r="120" spans="1:6" x14ac:dyDescent="0.25">
      <c r="A120">
        <v>238</v>
      </c>
      <c r="B120" t="s">
        <v>325</v>
      </c>
      <c r="E120">
        <v>860</v>
      </c>
      <c r="F120" t="s">
        <v>326</v>
      </c>
    </row>
    <row r="121" spans="1:6" x14ac:dyDescent="0.25">
      <c r="A121">
        <v>239</v>
      </c>
      <c r="B121" t="s">
        <v>327</v>
      </c>
      <c r="E121">
        <v>865</v>
      </c>
      <c r="F121" t="s">
        <v>328</v>
      </c>
    </row>
    <row r="122" spans="1:6" x14ac:dyDescent="0.25">
      <c r="A122">
        <v>240</v>
      </c>
      <c r="B122" t="s">
        <v>329</v>
      </c>
      <c r="E122">
        <v>899</v>
      </c>
      <c r="F122" t="s">
        <v>330</v>
      </c>
    </row>
    <row r="123" spans="1:6" x14ac:dyDescent="0.25">
      <c r="A123">
        <v>241</v>
      </c>
      <c r="B123" t="s">
        <v>331</v>
      </c>
      <c r="E123">
        <v>900</v>
      </c>
      <c r="F123" t="s">
        <v>332</v>
      </c>
    </row>
    <row r="124" spans="1:6" x14ac:dyDescent="0.25">
      <c r="A124">
        <v>242</v>
      </c>
      <c r="B124" t="s">
        <v>333</v>
      </c>
      <c r="E124">
        <v>901</v>
      </c>
      <c r="F124" t="s">
        <v>334</v>
      </c>
    </row>
    <row r="125" spans="1:6" x14ac:dyDescent="0.25">
      <c r="A125">
        <v>243</v>
      </c>
      <c r="B125" t="s">
        <v>335</v>
      </c>
      <c r="E125">
        <v>903</v>
      </c>
      <c r="F125" t="s">
        <v>336</v>
      </c>
    </row>
    <row r="126" spans="1:6" x14ac:dyDescent="0.25">
      <c r="A126">
        <v>244</v>
      </c>
      <c r="B126" t="s">
        <v>337</v>
      </c>
      <c r="E126">
        <v>905</v>
      </c>
      <c r="F126" t="s">
        <v>338</v>
      </c>
    </row>
    <row r="127" spans="1:6" x14ac:dyDescent="0.25">
      <c r="A127">
        <v>245</v>
      </c>
      <c r="B127" t="s">
        <v>339</v>
      </c>
      <c r="E127">
        <v>906</v>
      </c>
      <c r="F127" t="s">
        <v>340</v>
      </c>
    </row>
    <row r="128" spans="1:6" x14ac:dyDescent="0.25">
      <c r="A128">
        <v>246</v>
      </c>
      <c r="B128" t="s">
        <v>341</v>
      </c>
      <c r="E128">
        <v>907</v>
      </c>
      <c r="F128" t="s">
        <v>342</v>
      </c>
    </row>
    <row r="129" spans="1:6" x14ac:dyDescent="0.25">
      <c r="A129">
        <v>247</v>
      </c>
      <c r="B129" t="s">
        <v>343</v>
      </c>
      <c r="E129">
        <v>910</v>
      </c>
      <c r="F129" t="s">
        <v>344</v>
      </c>
    </row>
    <row r="130" spans="1:6" x14ac:dyDescent="0.25">
      <c r="A130">
        <v>248</v>
      </c>
      <c r="B130" t="s">
        <v>345</v>
      </c>
      <c r="E130">
        <v>920</v>
      </c>
      <c r="F130" t="s">
        <v>346</v>
      </c>
    </row>
    <row r="131" spans="1:6" x14ac:dyDescent="0.25">
      <c r="A131">
        <v>249</v>
      </c>
      <c r="B131" t="s">
        <v>347</v>
      </c>
      <c r="E131">
        <v>923</v>
      </c>
      <c r="F131" t="s">
        <v>348</v>
      </c>
    </row>
    <row r="132" spans="1:6" x14ac:dyDescent="0.25">
      <c r="A132">
        <v>250</v>
      </c>
      <c r="B132" t="s">
        <v>349</v>
      </c>
      <c r="E132">
        <v>924</v>
      </c>
      <c r="F132" t="s">
        <v>350</v>
      </c>
    </row>
    <row r="133" spans="1:6" x14ac:dyDescent="0.25">
      <c r="A133">
        <v>251</v>
      </c>
      <c r="B133" t="s">
        <v>351</v>
      </c>
      <c r="E133">
        <v>927</v>
      </c>
      <c r="F133" t="s">
        <v>352</v>
      </c>
    </row>
    <row r="134" spans="1:6" x14ac:dyDescent="0.25">
      <c r="A134">
        <v>252</v>
      </c>
      <c r="B134" t="s">
        <v>353</v>
      </c>
      <c r="E134">
        <v>928</v>
      </c>
      <c r="F134" t="s">
        <v>354</v>
      </c>
    </row>
    <row r="135" spans="1:6" x14ac:dyDescent="0.25">
      <c r="A135">
        <v>253</v>
      </c>
      <c r="B135" t="s">
        <v>355</v>
      </c>
      <c r="E135">
        <v>929</v>
      </c>
      <c r="F135" t="s">
        <v>356</v>
      </c>
    </row>
    <row r="136" spans="1:6" x14ac:dyDescent="0.25">
      <c r="A136">
        <v>254</v>
      </c>
      <c r="B136" t="s">
        <v>357</v>
      </c>
      <c r="E136">
        <v>930</v>
      </c>
      <c r="F136" t="s">
        <v>358</v>
      </c>
    </row>
    <row r="137" spans="1:6" x14ac:dyDescent="0.25">
      <c r="A137">
        <v>255</v>
      </c>
      <c r="B137" t="s">
        <v>359</v>
      </c>
      <c r="E137">
        <v>931</v>
      </c>
      <c r="F137" t="s">
        <v>360</v>
      </c>
    </row>
    <row r="138" spans="1:6" x14ac:dyDescent="0.25">
      <c r="A138">
        <v>256</v>
      </c>
      <c r="B138" t="s">
        <v>361</v>
      </c>
      <c r="E138">
        <v>934</v>
      </c>
      <c r="F138" t="s">
        <v>362</v>
      </c>
    </row>
    <row r="139" spans="1:6" x14ac:dyDescent="0.25">
      <c r="A139">
        <v>257</v>
      </c>
      <c r="B139" t="s">
        <v>363</v>
      </c>
      <c r="E139">
        <v>937</v>
      </c>
      <c r="F139" t="s">
        <v>364</v>
      </c>
    </row>
    <row r="140" spans="1:6" x14ac:dyDescent="0.25">
      <c r="A140">
        <v>258</v>
      </c>
      <c r="B140" t="s">
        <v>365</v>
      </c>
      <c r="E140">
        <v>940</v>
      </c>
      <c r="F140" t="s">
        <v>366</v>
      </c>
    </row>
    <row r="141" spans="1:6" x14ac:dyDescent="0.25">
      <c r="A141">
        <v>259</v>
      </c>
      <c r="B141" t="s">
        <v>367</v>
      </c>
      <c r="E141">
        <v>950</v>
      </c>
      <c r="F141" t="s">
        <v>368</v>
      </c>
    </row>
    <row r="142" spans="1:6" x14ac:dyDescent="0.25">
      <c r="A142">
        <v>260</v>
      </c>
      <c r="B142" t="s">
        <v>369</v>
      </c>
      <c r="E142">
        <v>954</v>
      </c>
      <c r="F142" t="s">
        <v>370</v>
      </c>
    </row>
    <row r="143" spans="1:6" x14ac:dyDescent="0.25">
      <c r="A143">
        <v>261</v>
      </c>
      <c r="B143" t="s">
        <v>371</v>
      </c>
      <c r="E143">
        <v>961</v>
      </c>
      <c r="F143" t="s">
        <v>372</v>
      </c>
    </row>
    <row r="144" spans="1:6" x14ac:dyDescent="0.25">
      <c r="A144">
        <v>262</v>
      </c>
      <c r="B144" t="s">
        <v>373</v>
      </c>
      <c r="E144">
        <v>1102</v>
      </c>
      <c r="F144" t="s">
        <v>374</v>
      </c>
    </row>
    <row r="145" spans="1:6" x14ac:dyDescent="0.25">
      <c r="A145">
        <v>263</v>
      </c>
      <c r="B145" t="s">
        <v>375</v>
      </c>
      <c r="E145">
        <v>1124</v>
      </c>
      <c r="F145" t="s">
        <v>376</v>
      </c>
    </row>
    <row r="146" spans="1:6" x14ac:dyDescent="0.25">
      <c r="A146">
        <v>264</v>
      </c>
      <c r="B146" t="s">
        <v>377</v>
      </c>
      <c r="E146">
        <v>1127</v>
      </c>
      <c r="F146" t="s">
        <v>378</v>
      </c>
    </row>
    <row r="147" spans="1:6" x14ac:dyDescent="0.25">
      <c r="A147">
        <v>265</v>
      </c>
      <c r="B147" t="s">
        <v>379</v>
      </c>
      <c r="E147">
        <v>1129</v>
      </c>
      <c r="F147" t="s">
        <v>380</v>
      </c>
    </row>
    <row r="148" spans="1:6" x14ac:dyDescent="0.25">
      <c r="A148">
        <v>266</v>
      </c>
      <c r="B148" t="s">
        <v>381</v>
      </c>
      <c r="E148">
        <v>1130</v>
      </c>
      <c r="F148" t="s">
        <v>382</v>
      </c>
    </row>
    <row r="149" spans="1:6" x14ac:dyDescent="0.25">
      <c r="A149">
        <v>267</v>
      </c>
      <c r="B149" t="s">
        <v>383</v>
      </c>
      <c r="E149">
        <v>1134</v>
      </c>
      <c r="F149" t="s">
        <v>384</v>
      </c>
    </row>
    <row r="150" spans="1:6" x14ac:dyDescent="0.25">
      <c r="A150">
        <v>268</v>
      </c>
      <c r="B150" t="s">
        <v>385</v>
      </c>
      <c r="E150">
        <v>1135</v>
      </c>
      <c r="F150" t="s">
        <v>386</v>
      </c>
    </row>
    <row r="151" spans="1:6" x14ac:dyDescent="0.25">
      <c r="A151">
        <v>269</v>
      </c>
      <c r="B151" t="s">
        <v>387</v>
      </c>
      <c r="E151">
        <v>1136</v>
      </c>
      <c r="F151" t="s">
        <v>388</v>
      </c>
    </row>
    <row r="152" spans="1:6" x14ac:dyDescent="0.25">
      <c r="A152">
        <v>270</v>
      </c>
      <c r="B152" t="s">
        <v>389</v>
      </c>
      <c r="E152">
        <v>1137</v>
      </c>
      <c r="F152" t="s">
        <v>390</v>
      </c>
    </row>
    <row r="153" spans="1:6" x14ac:dyDescent="0.25">
      <c r="A153">
        <v>271</v>
      </c>
      <c r="B153" t="s">
        <v>391</v>
      </c>
      <c r="E153">
        <v>1138</v>
      </c>
      <c r="F153" t="s">
        <v>392</v>
      </c>
    </row>
    <row r="154" spans="1:6" x14ac:dyDescent="0.25">
      <c r="A154">
        <v>272</v>
      </c>
      <c r="B154" t="s">
        <v>393</v>
      </c>
      <c r="E154">
        <v>1139</v>
      </c>
      <c r="F154" t="s">
        <v>394</v>
      </c>
    </row>
    <row r="155" spans="1:6" x14ac:dyDescent="0.25">
      <c r="A155">
        <v>273</v>
      </c>
      <c r="B155" t="s">
        <v>395</v>
      </c>
      <c r="E155">
        <v>1140</v>
      </c>
      <c r="F155" t="s">
        <v>396</v>
      </c>
    </row>
    <row r="156" spans="1:6" x14ac:dyDescent="0.25">
      <c r="A156">
        <v>274</v>
      </c>
      <c r="B156" t="s">
        <v>397</v>
      </c>
      <c r="E156">
        <v>1142</v>
      </c>
      <c r="F156" t="s">
        <v>398</v>
      </c>
    </row>
    <row r="157" spans="1:6" x14ac:dyDescent="0.25">
      <c r="A157">
        <v>275</v>
      </c>
      <c r="B157" t="s">
        <v>399</v>
      </c>
      <c r="E157">
        <v>1149</v>
      </c>
      <c r="F157" t="s">
        <v>400</v>
      </c>
    </row>
    <row r="158" spans="1:6" x14ac:dyDescent="0.25">
      <c r="A158">
        <v>276</v>
      </c>
      <c r="B158" t="s">
        <v>401</v>
      </c>
      <c r="E158">
        <v>1161</v>
      </c>
      <c r="F158" t="s">
        <v>402</v>
      </c>
    </row>
    <row r="159" spans="1:6" x14ac:dyDescent="0.25">
      <c r="A159">
        <v>277</v>
      </c>
      <c r="B159" t="s">
        <v>403</v>
      </c>
      <c r="E159">
        <v>1163</v>
      </c>
      <c r="F159" t="s">
        <v>404</v>
      </c>
    </row>
    <row r="160" spans="1:6" x14ac:dyDescent="0.25">
      <c r="A160">
        <v>278</v>
      </c>
      <c r="B160" t="s">
        <v>405</v>
      </c>
      <c r="E160">
        <v>1179</v>
      </c>
      <c r="F160" t="s">
        <v>406</v>
      </c>
    </row>
    <row r="161" spans="1:6" x14ac:dyDescent="0.25">
      <c r="A161">
        <v>279</v>
      </c>
      <c r="B161" t="s">
        <v>407</v>
      </c>
      <c r="E161">
        <v>1181</v>
      </c>
      <c r="F161" t="s">
        <v>408</v>
      </c>
    </row>
    <row r="162" spans="1:6" x14ac:dyDescent="0.25">
      <c r="A162">
        <v>280</v>
      </c>
      <c r="B162" t="s">
        <v>409</v>
      </c>
      <c r="E162">
        <v>1190</v>
      </c>
      <c r="F162" t="s">
        <v>410</v>
      </c>
    </row>
    <row r="163" spans="1:6" x14ac:dyDescent="0.25">
      <c r="A163">
        <v>281</v>
      </c>
      <c r="B163" t="s">
        <v>411</v>
      </c>
      <c r="E163">
        <v>1192</v>
      </c>
      <c r="F163" t="s">
        <v>412</v>
      </c>
    </row>
    <row r="164" spans="1:6" x14ac:dyDescent="0.25">
      <c r="A164">
        <v>282</v>
      </c>
      <c r="B164" t="s">
        <v>413</v>
      </c>
      <c r="E164">
        <v>1200</v>
      </c>
      <c r="F164" t="s">
        <v>414</v>
      </c>
    </row>
    <row r="165" spans="1:6" x14ac:dyDescent="0.25">
      <c r="A165">
        <v>283</v>
      </c>
      <c r="B165" t="s">
        <v>415</v>
      </c>
      <c r="E165">
        <v>1224</v>
      </c>
      <c r="F165" t="s">
        <v>416</v>
      </c>
    </row>
    <row r="166" spans="1:6" x14ac:dyDescent="0.25">
      <c r="A166">
        <v>284</v>
      </c>
      <c r="B166" t="s">
        <v>417</v>
      </c>
      <c r="E166">
        <v>1227</v>
      </c>
      <c r="F166" t="s">
        <v>418</v>
      </c>
    </row>
    <row r="167" spans="1:6" x14ac:dyDescent="0.25">
      <c r="A167">
        <v>285</v>
      </c>
      <c r="B167" t="s">
        <v>419</v>
      </c>
      <c r="E167">
        <v>1228</v>
      </c>
      <c r="F167" t="s">
        <v>420</v>
      </c>
    </row>
    <row r="168" spans="1:6" x14ac:dyDescent="0.25">
      <c r="A168">
        <v>286</v>
      </c>
      <c r="B168" t="s">
        <v>421</v>
      </c>
      <c r="E168">
        <v>1230</v>
      </c>
      <c r="F168" t="s">
        <v>422</v>
      </c>
    </row>
    <row r="169" spans="1:6" x14ac:dyDescent="0.25">
      <c r="A169">
        <v>287</v>
      </c>
      <c r="B169" t="s">
        <v>423</v>
      </c>
      <c r="E169">
        <v>1306</v>
      </c>
      <c r="F169" t="s">
        <v>424</v>
      </c>
    </row>
    <row r="170" spans="1:6" x14ac:dyDescent="0.25">
      <c r="A170">
        <v>289</v>
      </c>
      <c r="B170" t="s">
        <v>425</v>
      </c>
      <c r="E170">
        <v>1307</v>
      </c>
      <c r="F170" t="s">
        <v>426</v>
      </c>
    </row>
    <row r="171" spans="1:6" x14ac:dyDescent="0.25">
      <c r="A171">
        <v>290</v>
      </c>
      <c r="B171" t="s">
        <v>427</v>
      </c>
      <c r="E171">
        <v>1308</v>
      </c>
      <c r="F171" t="s">
        <v>428</v>
      </c>
    </row>
    <row r="172" spans="1:6" x14ac:dyDescent="0.25">
      <c r="A172">
        <v>291</v>
      </c>
      <c r="B172" t="s">
        <v>429</v>
      </c>
      <c r="E172">
        <v>1309</v>
      </c>
      <c r="F172" t="s">
        <v>430</v>
      </c>
    </row>
    <row r="173" spans="1:6" x14ac:dyDescent="0.25">
      <c r="A173">
        <v>300</v>
      </c>
      <c r="B173" t="s">
        <v>431</v>
      </c>
      <c r="E173">
        <v>1310</v>
      </c>
      <c r="F173" t="s">
        <v>432</v>
      </c>
    </row>
    <row r="174" spans="1:6" x14ac:dyDescent="0.25">
      <c r="A174">
        <v>301</v>
      </c>
      <c r="B174" t="s">
        <v>433</v>
      </c>
      <c r="E174">
        <v>1376</v>
      </c>
      <c r="F174" t="s">
        <v>434</v>
      </c>
    </row>
    <row r="175" spans="1:6" x14ac:dyDescent="0.25">
      <c r="A175">
        <v>302</v>
      </c>
      <c r="B175" t="s">
        <v>435</v>
      </c>
      <c r="E175">
        <v>1377</v>
      </c>
      <c r="F175" t="s">
        <v>436</v>
      </c>
    </row>
    <row r="176" spans="1:6" x14ac:dyDescent="0.25">
      <c r="A176">
        <v>303</v>
      </c>
      <c r="B176" t="s">
        <v>437</v>
      </c>
      <c r="E176">
        <v>1378</v>
      </c>
      <c r="F176" t="s">
        <v>438</v>
      </c>
    </row>
    <row r="177" spans="1:6" x14ac:dyDescent="0.25">
      <c r="A177">
        <v>304</v>
      </c>
      <c r="B177" t="s">
        <v>439</v>
      </c>
      <c r="E177">
        <v>1381</v>
      </c>
      <c r="F177" t="s">
        <v>440</v>
      </c>
    </row>
    <row r="178" spans="1:6" x14ac:dyDescent="0.25">
      <c r="A178">
        <v>305</v>
      </c>
      <c r="B178" t="s">
        <v>441</v>
      </c>
      <c r="E178">
        <v>1383</v>
      </c>
      <c r="F178" t="s">
        <v>442</v>
      </c>
    </row>
    <row r="179" spans="1:6" x14ac:dyDescent="0.25">
      <c r="A179">
        <v>306</v>
      </c>
      <c r="B179" t="s">
        <v>443</v>
      </c>
      <c r="E179">
        <v>1385</v>
      </c>
      <c r="F179" t="s">
        <v>444</v>
      </c>
    </row>
    <row r="180" spans="1:6" x14ac:dyDescent="0.25">
      <c r="A180">
        <v>307</v>
      </c>
      <c r="B180" t="s">
        <v>445</v>
      </c>
      <c r="E180">
        <v>1388</v>
      </c>
      <c r="F180" t="s">
        <v>446</v>
      </c>
    </row>
    <row r="181" spans="1:6" x14ac:dyDescent="0.25">
      <c r="A181">
        <v>308</v>
      </c>
      <c r="B181" t="s">
        <v>447</v>
      </c>
      <c r="E181">
        <v>1390</v>
      </c>
      <c r="F181" t="s">
        <v>448</v>
      </c>
    </row>
    <row r="182" spans="1:6" x14ac:dyDescent="0.25">
      <c r="A182">
        <v>309</v>
      </c>
      <c r="B182" t="s">
        <v>449</v>
      </c>
      <c r="E182">
        <v>1392</v>
      </c>
      <c r="F182" t="s">
        <v>450</v>
      </c>
    </row>
    <row r="183" spans="1:6" x14ac:dyDescent="0.25">
      <c r="A183">
        <v>310</v>
      </c>
      <c r="B183" t="s">
        <v>451</v>
      </c>
      <c r="E183">
        <v>1393</v>
      </c>
      <c r="F183" t="s">
        <v>452</v>
      </c>
    </row>
    <row r="184" spans="1:6" x14ac:dyDescent="0.25">
      <c r="A184">
        <v>311</v>
      </c>
      <c r="B184" t="s">
        <v>453</v>
      </c>
      <c r="E184">
        <v>1395</v>
      </c>
      <c r="F184" t="s">
        <v>454</v>
      </c>
    </row>
    <row r="185" spans="1:6" x14ac:dyDescent="0.25">
      <c r="A185">
        <v>312</v>
      </c>
      <c r="B185" t="s">
        <v>455</v>
      </c>
      <c r="E185">
        <v>1396</v>
      </c>
      <c r="F185" t="s">
        <v>456</v>
      </c>
    </row>
    <row r="186" spans="1:6" x14ac:dyDescent="0.25">
      <c r="A186">
        <v>313</v>
      </c>
      <c r="B186" t="s">
        <v>457</v>
      </c>
      <c r="E186">
        <v>1397</v>
      </c>
      <c r="F186" t="s">
        <v>458</v>
      </c>
    </row>
    <row r="187" spans="1:6" x14ac:dyDescent="0.25">
      <c r="A187">
        <v>314</v>
      </c>
      <c r="B187" t="s">
        <v>459</v>
      </c>
      <c r="E187">
        <v>1398</v>
      </c>
      <c r="F187" t="s">
        <v>460</v>
      </c>
    </row>
    <row r="188" spans="1:6" x14ac:dyDescent="0.25">
      <c r="A188">
        <v>315</v>
      </c>
      <c r="B188" t="s">
        <v>461</v>
      </c>
      <c r="E188">
        <v>1399</v>
      </c>
      <c r="F188" t="s">
        <v>462</v>
      </c>
    </row>
    <row r="189" spans="1:6" x14ac:dyDescent="0.25">
      <c r="A189">
        <v>316</v>
      </c>
      <c r="B189" t="s">
        <v>463</v>
      </c>
      <c r="E189">
        <v>1400</v>
      </c>
      <c r="F189" t="s">
        <v>464</v>
      </c>
    </row>
    <row r="190" spans="1:6" x14ac:dyDescent="0.25">
      <c r="A190">
        <v>317</v>
      </c>
      <c r="B190" t="s">
        <v>465</v>
      </c>
      <c r="E190">
        <v>1401</v>
      </c>
      <c r="F190" t="s">
        <v>466</v>
      </c>
    </row>
    <row r="191" spans="1:6" x14ac:dyDescent="0.25">
      <c r="A191">
        <v>318</v>
      </c>
      <c r="B191" t="s">
        <v>467</v>
      </c>
      <c r="E191">
        <v>1402</v>
      </c>
      <c r="F191" t="s">
        <v>468</v>
      </c>
    </row>
    <row r="192" spans="1:6" x14ac:dyDescent="0.25">
      <c r="A192">
        <v>319</v>
      </c>
      <c r="B192" t="s">
        <v>469</v>
      </c>
      <c r="E192">
        <v>1404</v>
      </c>
      <c r="F192" t="s">
        <v>470</v>
      </c>
    </row>
    <row r="193" spans="1:6" x14ac:dyDescent="0.25">
      <c r="A193">
        <v>320</v>
      </c>
      <c r="B193" t="s">
        <v>471</v>
      </c>
      <c r="E193">
        <v>1406</v>
      </c>
      <c r="F193" t="s">
        <v>472</v>
      </c>
    </row>
    <row r="194" spans="1:6" x14ac:dyDescent="0.25">
      <c r="A194">
        <v>321</v>
      </c>
      <c r="B194" t="s">
        <v>473</v>
      </c>
      <c r="E194">
        <v>1407</v>
      </c>
      <c r="F194" t="s">
        <v>474</v>
      </c>
    </row>
    <row r="195" spans="1:6" x14ac:dyDescent="0.25">
      <c r="A195">
        <v>322</v>
      </c>
      <c r="B195" t="s">
        <v>475</v>
      </c>
      <c r="E195">
        <v>1408</v>
      </c>
      <c r="F195" t="s">
        <v>476</v>
      </c>
    </row>
    <row r="196" spans="1:6" x14ac:dyDescent="0.25">
      <c r="A196">
        <v>323</v>
      </c>
      <c r="B196" t="s">
        <v>477</v>
      </c>
      <c r="E196">
        <v>1409</v>
      </c>
      <c r="F196" t="s">
        <v>478</v>
      </c>
    </row>
    <row r="197" spans="1:6" x14ac:dyDescent="0.25">
      <c r="A197">
        <v>324</v>
      </c>
      <c r="B197" t="s">
        <v>479</v>
      </c>
      <c r="E197">
        <v>1410</v>
      </c>
      <c r="F197" t="s">
        <v>480</v>
      </c>
    </row>
    <row r="198" spans="1:6" x14ac:dyDescent="0.25">
      <c r="A198">
        <v>325</v>
      </c>
      <c r="B198" t="s">
        <v>481</v>
      </c>
      <c r="E198">
        <v>1411</v>
      </c>
      <c r="F198" t="s">
        <v>482</v>
      </c>
    </row>
    <row r="199" spans="1:6" x14ac:dyDescent="0.25">
      <c r="A199">
        <v>326</v>
      </c>
      <c r="B199" t="s">
        <v>483</v>
      </c>
      <c r="E199">
        <v>1412</v>
      </c>
      <c r="F199" t="s">
        <v>484</v>
      </c>
    </row>
    <row r="200" spans="1:6" x14ac:dyDescent="0.25">
      <c r="A200">
        <v>327</v>
      </c>
      <c r="B200" t="s">
        <v>485</v>
      </c>
      <c r="E200">
        <v>1413</v>
      </c>
      <c r="F200" t="s">
        <v>486</v>
      </c>
    </row>
    <row r="201" spans="1:6" x14ac:dyDescent="0.25">
      <c r="A201">
        <v>328</v>
      </c>
      <c r="B201" t="s">
        <v>487</v>
      </c>
      <c r="E201">
        <v>1414</v>
      </c>
      <c r="F201" t="s">
        <v>488</v>
      </c>
    </row>
    <row r="202" spans="1:6" x14ac:dyDescent="0.25">
      <c r="A202">
        <v>329</v>
      </c>
      <c r="B202" t="s">
        <v>489</v>
      </c>
      <c r="E202">
        <v>1415</v>
      </c>
      <c r="F202" t="s">
        <v>490</v>
      </c>
    </row>
    <row r="203" spans="1:6" x14ac:dyDescent="0.25">
      <c r="A203">
        <v>330</v>
      </c>
      <c r="B203" t="s">
        <v>491</v>
      </c>
      <c r="E203">
        <v>1416</v>
      </c>
      <c r="F203" t="s">
        <v>492</v>
      </c>
    </row>
    <row r="204" spans="1:6" x14ac:dyDescent="0.25">
      <c r="A204">
        <v>331</v>
      </c>
      <c r="B204" t="s">
        <v>493</v>
      </c>
      <c r="E204">
        <v>1417</v>
      </c>
      <c r="F204" t="s">
        <v>494</v>
      </c>
    </row>
    <row r="205" spans="1:6" x14ac:dyDescent="0.25">
      <c r="A205">
        <v>332</v>
      </c>
      <c r="B205" t="s">
        <v>495</v>
      </c>
      <c r="E205">
        <v>1418</v>
      </c>
      <c r="F205" t="s">
        <v>496</v>
      </c>
    </row>
    <row r="206" spans="1:6" x14ac:dyDescent="0.25">
      <c r="A206">
        <v>333</v>
      </c>
      <c r="B206" t="s">
        <v>497</v>
      </c>
      <c r="E206">
        <v>1419</v>
      </c>
      <c r="F206" t="s">
        <v>498</v>
      </c>
    </row>
    <row r="207" spans="1:6" x14ac:dyDescent="0.25">
      <c r="A207">
        <v>334</v>
      </c>
      <c r="B207" t="s">
        <v>499</v>
      </c>
      <c r="E207">
        <v>1420</v>
      </c>
      <c r="F207" t="s">
        <v>500</v>
      </c>
    </row>
    <row r="208" spans="1:6" x14ac:dyDescent="0.25">
      <c r="A208">
        <v>335</v>
      </c>
      <c r="B208" t="s">
        <v>501</v>
      </c>
      <c r="E208">
        <v>1421</v>
      </c>
      <c r="F208" t="s">
        <v>502</v>
      </c>
    </row>
    <row r="209" spans="1:6" x14ac:dyDescent="0.25">
      <c r="A209">
        <v>336</v>
      </c>
      <c r="B209" t="s">
        <v>503</v>
      </c>
      <c r="E209">
        <v>1423</v>
      </c>
      <c r="F209" t="s">
        <v>504</v>
      </c>
    </row>
    <row r="210" spans="1:6" x14ac:dyDescent="0.25">
      <c r="A210">
        <v>337</v>
      </c>
      <c r="B210" t="s">
        <v>505</v>
      </c>
      <c r="E210">
        <v>1426</v>
      </c>
      <c r="F210" t="s">
        <v>506</v>
      </c>
    </row>
    <row r="211" spans="1:6" x14ac:dyDescent="0.25">
      <c r="A211">
        <v>338</v>
      </c>
      <c r="B211" t="s">
        <v>507</v>
      </c>
      <c r="E211">
        <v>1429</v>
      </c>
      <c r="F211" t="s">
        <v>508</v>
      </c>
    </row>
    <row r="212" spans="1:6" x14ac:dyDescent="0.25">
      <c r="A212">
        <v>339</v>
      </c>
      <c r="B212" t="s">
        <v>509</v>
      </c>
      <c r="E212">
        <v>1433</v>
      </c>
      <c r="F212" t="s">
        <v>510</v>
      </c>
    </row>
    <row r="213" spans="1:6" x14ac:dyDescent="0.25">
      <c r="A213">
        <v>340</v>
      </c>
      <c r="B213" t="s">
        <v>511</v>
      </c>
      <c r="E213">
        <v>1436</v>
      </c>
      <c r="F213" t="s">
        <v>512</v>
      </c>
    </row>
    <row r="214" spans="1:6" x14ac:dyDescent="0.25">
      <c r="A214">
        <v>341</v>
      </c>
      <c r="B214" t="s">
        <v>513</v>
      </c>
      <c r="E214">
        <v>1439</v>
      </c>
      <c r="F214" t="s">
        <v>514</v>
      </c>
    </row>
    <row r="215" spans="1:6" x14ac:dyDescent="0.25">
      <c r="A215">
        <v>342</v>
      </c>
      <c r="B215" t="s">
        <v>515</v>
      </c>
      <c r="E215">
        <v>1447</v>
      </c>
      <c r="F215" t="s">
        <v>516</v>
      </c>
    </row>
    <row r="216" spans="1:6" x14ac:dyDescent="0.25">
      <c r="A216">
        <v>343</v>
      </c>
      <c r="B216" t="s">
        <v>517</v>
      </c>
      <c r="E216">
        <v>1452</v>
      </c>
      <c r="F216" t="s">
        <v>518</v>
      </c>
    </row>
    <row r="217" spans="1:6" x14ac:dyDescent="0.25">
      <c r="A217">
        <v>344</v>
      </c>
      <c r="B217" t="s">
        <v>519</v>
      </c>
      <c r="E217">
        <v>1455</v>
      </c>
      <c r="F217" t="s">
        <v>520</v>
      </c>
    </row>
    <row r="218" spans="1:6" x14ac:dyDescent="0.25">
      <c r="A218">
        <v>345</v>
      </c>
      <c r="B218" t="s">
        <v>521</v>
      </c>
      <c r="E218">
        <v>1456</v>
      </c>
      <c r="F218" t="s">
        <v>522</v>
      </c>
    </row>
    <row r="219" spans="1:6" x14ac:dyDescent="0.25">
      <c r="A219">
        <v>346</v>
      </c>
      <c r="B219" t="s">
        <v>523</v>
      </c>
      <c r="E219">
        <v>1458</v>
      </c>
      <c r="F219" t="s">
        <v>524</v>
      </c>
    </row>
    <row r="220" spans="1:6" x14ac:dyDescent="0.25">
      <c r="A220">
        <v>347</v>
      </c>
      <c r="B220" t="s">
        <v>525</v>
      </c>
      <c r="E220">
        <v>1465</v>
      </c>
      <c r="F220" t="s">
        <v>526</v>
      </c>
    </row>
    <row r="221" spans="1:6" x14ac:dyDescent="0.25">
      <c r="A221">
        <v>348</v>
      </c>
      <c r="B221" t="s">
        <v>527</v>
      </c>
      <c r="E221">
        <v>1476</v>
      </c>
      <c r="F221" t="s">
        <v>528</v>
      </c>
    </row>
    <row r="222" spans="1:6" x14ac:dyDescent="0.25">
      <c r="A222">
        <v>349</v>
      </c>
      <c r="B222" t="s">
        <v>529</v>
      </c>
      <c r="E222">
        <v>1484</v>
      </c>
      <c r="F222" t="s">
        <v>530</v>
      </c>
    </row>
    <row r="223" spans="1:6" x14ac:dyDescent="0.25">
      <c r="A223">
        <v>350</v>
      </c>
      <c r="B223" t="s">
        <v>531</v>
      </c>
      <c r="E223">
        <v>1487</v>
      </c>
      <c r="F223" t="s">
        <v>532</v>
      </c>
    </row>
    <row r="224" spans="1:6" x14ac:dyDescent="0.25">
      <c r="A224">
        <v>351</v>
      </c>
      <c r="B224" t="s">
        <v>533</v>
      </c>
      <c r="E224">
        <v>1492</v>
      </c>
      <c r="F224" t="s">
        <v>534</v>
      </c>
    </row>
    <row r="225" spans="1:6" x14ac:dyDescent="0.25">
      <c r="A225">
        <v>352</v>
      </c>
      <c r="B225" t="s">
        <v>535</v>
      </c>
      <c r="E225">
        <v>1500</v>
      </c>
      <c r="F225" t="s">
        <v>536</v>
      </c>
    </row>
    <row r="226" spans="1:6" x14ac:dyDescent="0.25">
      <c r="A226">
        <v>353</v>
      </c>
      <c r="B226" t="s">
        <v>537</v>
      </c>
      <c r="E226">
        <v>1501</v>
      </c>
      <c r="F226" t="s">
        <v>538</v>
      </c>
    </row>
    <row r="227" spans="1:6" x14ac:dyDescent="0.25">
      <c r="A227">
        <v>354</v>
      </c>
      <c r="B227" t="s">
        <v>539</v>
      </c>
      <c r="E227">
        <v>1503</v>
      </c>
      <c r="F227" t="s">
        <v>540</v>
      </c>
    </row>
    <row r="228" spans="1:6" x14ac:dyDescent="0.25">
      <c r="A228">
        <v>355</v>
      </c>
      <c r="B228" t="s">
        <v>541</v>
      </c>
      <c r="E228">
        <v>1513</v>
      </c>
      <c r="F228" t="s">
        <v>542</v>
      </c>
    </row>
    <row r="229" spans="1:6" x14ac:dyDescent="0.25">
      <c r="A229">
        <v>356</v>
      </c>
      <c r="B229" t="s">
        <v>543</v>
      </c>
      <c r="E229">
        <v>1515</v>
      </c>
      <c r="F229" t="s">
        <v>544</v>
      </c>
    </row>
    <row r="230" spans="1:6" x14ac:dyDescent="0.25">
      <c r="A230">
        <v>357</v>
      </c>
      <c r="B230" t="s">
        <v>545</v>
      </c>
      <c r="E230">
        <v>1516</v>
      </c>
      <c r="F230" t="s">
        <v>546</v>
      </c>
    </row>
    <row r="231" spans="1:6" x14ac:dyDescent="0.25">
      <c r="A231">
        <v>358</v>
      </c>
      <c r="B231" t="s">
        <v>547</v>
      </c>
      <c r="E231">
        <v>1521</v>
      </c>
      <c r="F231" t="s">
        <v>548</v>
      </c>
    </row>
    <row r="232" spans="1:6" x14ac:dyDescent="0.25">
      <c r="A232">
        <v>359</v>
      </c>
      <c r="B232" t="s">
        <v>549</v>
      </c>
      <c r="E232">
        <v>1530</v>
      </c>
      <c r="F232" t="s">
        <v>550</v>
      </c>
    </row>
    <row r="233" spans="1:6" x14ac:dyDescent="0.25">
      <c r="A233">
        <v>360</v>
      </c>
      <c r="B233" t="s">
        <v>551</v>
      </c>
      <c r="E233">
        <v>1532</v>
      </c>
      <c r="F233" t="s">
        <v>552</v>
      </c>
    </row>
    <row r="234" spans="1:6" x14ac:dyDescent="0.25">
      <c r="A234">
        <v>361</v>
      </c>
      <c r="B234" t="s">
        <v>553</v>
      </c>
      <c r="E234">
        <v>1542</v>
      </c>
      <c r="F234" t="s">
        <v>554</v>
      </c>
    </row>
    <row r="235" spans="1:6" x14ac:dyDescent="0.25">
      <c r="A235">
        <v>362</v>
      </c>
      <c r="B235" t="s">
        <v>555</v>
      </c>
      <c r="E235">
        <v>1543</v>
      </c>
      <c r="F235" t="s">
        <v>556</v>
      </c>
    </row>
    <row r="236" spans="1:6" x14ac:dyDescent="0.25">
      <c r="A236">
        <v>363</v>
      </c>
      <c r="B236" t="s">
        <v>557</v>
      </c>
      <c r="E236">
        <v>1546</v>
      </c>
      <c r="F236" t="s">
        <v>558</v>
      </c>
    </row>
    <row r="237" spans="1:6" x14ac:dyDescent="0.25">
      <c r="A237">
        <v>364</v>
      </c>
      <c r="B237" t="s">
        <v>559</v>
      </c>
      <c r="E237">
        <v>1547</v>
      </c>
      <c r="F237" t="s">
        <v>560</v>
      </c>
    </row>
    <row r="238" spans="1:6" x14ac:dyDescent="0.25">
      <c r="A238">
        <v>365</v>
      </c>
      <c r="B238" t="s">
        <v>561</v>
      </c>
      <c r="E238">
        <v>1548</v>
      </c>
      <c r="F238" t="s">
        <v>562</v>
      </c>
    </row>
    <row r="239" spans="1:6" x14ac:dyDescent="0.25">
      <c r="A239">
        <v>366</v>
      </c>
      <c r="B239" t="s">
        <v>563</v>
      </c>
      <c r="E239">
        <v>1600</v>
      </c>
      <c r="F239" t="s">
        <v>564</v>
      </c>
    </row>
    <row r="240" spans="1:6" x14ac:dyDescent="0.25">
      <c r="A240">
        <v>367</v>
      </c>
      <c r="B240" t="s">
        <v>565</v>
      </c>
      <c r="E240">
        <v>1601</v>
      </c>
      <c r="F240" t="s">
        <v>566</v>
      </c>
    </row>
    <row r="241" spans="1:6" x14ac:dyDescent="0.25">
      <c r="A241">
        <v>368</v>
      </c>
      <c r="B241" t="s">
        <v>567</v>
      </c>
      <c r="E241">
        <v>1602</v>
      </c>
      <c r="F241" t="s">
        <v>568</v>
      </c>
    </row>
    <row r="242" spans="1:6" x14ac:dyDescent="0.25">
      <c r="A242">
        <v>369</v>
      </c>
      <c r="B242" t="s">
        <v>569</v>
      </c>
      <c r="E242">
        <v>1603</v>
      </c>
      <c r="F242" t="s">
        <v>570</v>
      </c>
    </row>
    <row r="243" spans="1:6" x14ac:dyDescent="0.25">
      <c r="A243">
        <v>370</v>
      </c>
      <c r="B243" t="s">
        <v>571</v>
      </c>
      <c r="E243">
        <v>1604</v>
      </c>
      <c r="F243" t="s">
        <v>572</v>
      </c>
    </row>
    <row r="244" spans="1:6" x14ac:dyDescent="0.25">
      <c r="A244">
        <v>371</v>
      </c>
      <c r="B244" t="s">
        <v>573</v>
      </c>
      <c r="E244">
        <v>1605</v>
      </c>
      <c r="F244" t="s">
        <v>574</v>
      </c>
    </row>
    <row r="245" spans="1:6" x14ac:dyDescent="0.25">
      <c r="A245">
        <v>372</v>
      </c>
      <c r="B245" t="s">
        <v>575</v>
      </c>
      <c r="E245">
        <v>1606</v>
      </c>
      <c r="F245" t="s">
        <v>576</v>
      </c>
    </row>
    <row r="246" spans="1:6" x14ac:dyDescent="0.25">
      <c r="A246">
        <v>373</v>
      </c>
      <c r="B246" t="s">
        <v>577</v>
      </c>
      <c r="E246">
        <v>1607</v>
      </c>
      <c r="F246" t="s">
        <v>578</v>
      </c>
    </row>
    <row r="247" spans="1:6" x14ac:dyDescent="0.25">
      <c r="A247">
        <v>374</v>
      </c>
      <c r="B247" t="s">
        <v>579</v>
      </c>
      <c r="E247">
        <v>1608</v>
      </c>
      <c r="F247" t="s">
        <v>580</v>
      </c>
    </row>
    <row r="248" spans="1:6" x14ac:dyDescent="0.25">
      <c r="A248">
        <v>375</v>
      </c>
      <c r="B248" t="s">
        <v>581</v>
      </c>
      <c r="E248">
        <v>1609</v>
      </c>
      <c r="F248" t="s">
        <v>582</v>
      </c>
    </row>
    <row r="249" spans="1:6" x14ac:dyDescent="0.25">
      <c r="A249">
        <v>376</v>
      </c>
      <c r="B249" t="s">
        <v>583</v>
      </c>
      <c r="E249">
        <v>1610</v>
      </c>
      <c r="F249" t="s">
        <v>584</v>
      </c>
    </row>
    <row r="250" spans="1:6" x14ac:dyDescent="0.25">
      <c r="A250">
        <v>377</v>
      </c>
      <c r="B250" t="s">
        <v>585</v>
      </c>
      <c r="E250">
        <v>1611</v>
      </c>
      <c r="F250" t="s">
        <v>586</v>
      </c>
    </row>
    <row r="251" spans="1:6" x14ac:dyDescent="0.25">
      <c r="A251">
        <v>378</v>
      </c>
      <c r="B251" t="s">
        <v>587</v>
      </c>
      <c r="E251">
        <v>1612</v>
      </c>
      <c r="F251" t="s">
        <v>588</v>
      </c>
    </row>
    <row r="252" spans="1:6" x14ac:dyDescent="0.25">
      <c r="A252">
        <v>379</v>
      </c>
      <c r="B252" t="s">
        <v>589</v>
      </c>
      <c r="E252">
        <v>1613</v>
      </c>
      <c r="F252" t="s">
        <v>590</v>
      </c>
    </row>
    <row r="253" spans="1:6" x14ac:dyDescent="0.25">
      <c r="A253">
        <v>380</v>
      </c>
      <c r="B253" t="s">
        <v>591</v>
      </c>
      <c r="E253">
        <v>1614</v>
      </c>
      <c r="F253" t="s">
        <v>592</v>
      </c>
    </row>
    <row r="254" spans="1:6" x14ac:dyDescent="0.25">
      <c r="A254">
        <v>381</v>
      </c>
      <c r="B254" t="s">
        <v>593</v>
      </c>
      <c r="E254">
        <v>1742</v>
      </c>
      <c r="F254" t="s">
        <v>594</v>
      </c>
    </row>
    <row r="255" spans="1:6" x14ac:dyDescent="0.25">
      <c r="A255">
        <v>382</v>
      </c>
      <c r="B255" t="s">
        <v>595</v>
      </c>
      <c r="E255">
        <v>1758</v>
      </c>
      <c r="F255" t="s">
        <v>596</v>
      </c>
    </row>
    <row r="256" spans="1:6" x14ac:dyDescent="0.25">
      <c r="A256">
        <v>383</v>
      </c>
      <c r="B256" t="s">
        <v>597</v>
      </c>
      <c r="E256">
        <v>1820</v>
      </c>
      <c r="F256" t="s">
        <v>598</v>
      </c>
    </row>
    <row r="257" spans="1:6" x14ac:dyDescent="0.25">
      <c r="A257">
        <v>384</v>
      </c>
      <c r="B257" t="s">
        <v>599</v>
      </c>
      <c r="E257">
        <v>1822</v>
      </c>
      <c r="F257" t="s">
        <v>600</v>
      </c>
    </row>
    <row r="258" spans="1:6" x14ac:dyDescent="0.25">
      <c r="A258">
        <v>385</v>
      </c>
      <c r="B258" t="s">
        <v>601</v>
      </c>
      <c r="E258">
        <v>1827</v>
      </c>
      <c r="F258" t="s">
        <v>602</v>
      </c>
    </row>
    <row r="259" spans="1:6" x14ac:dyDescent="0.25">
      <c r="A259">
        <v>386</v>
      </c>
      <c r="B259" t="s">
        <v>603</v>
      </c>
      <c r="E259">
        <v>1830</v>
      </c>
      <c r="F259" t="s">
        <v>604</v>
      </c>
    </row>
    <row r="260" spans="1:6" x14ac:dyDescent="0.25">
      <c r="A260">
        <v>387</v>
      </c>
      <c r="B260" t="s">
        <v>605</v>
      </c>
      <c r="E260">
        <v>1908</v>
      </c>
      <c r="F260" t="s">
        <v>606</v>
      </c>
    </row>
    <row r="261" spans="1:6" x14ac:dyDescent="0.25">
      <c r="A261">
        <v>388</v>
      </c>
      <c r="B261" t="s">
        <v>607</v>
      </c>
      <c r="E261">
        <v>1909</v>
      </c>
      <c r="F261" t="s">
        <v>608</v>
      </c>
    </row>
    <row r="262" spans="1:6" x14ac:dyDescent="0.25">
      <c r="A262">
        <v>389</v>
      </c>
      <c r="B262" t="s">
        <v>609</v>
      </c>
      <c r="E262">
        <v>1910</v>
      </c>
      <c r="F262" t="s">
        <v>610</v>
      </c>
    </row>
    <row r="263" spans="1:6" x14ac:dyDescent="0.25">
      <c r="A263">
        <v>390</v>
      </c>
      <c r="B263" t="s">
        <v>611</v>
      </c>
      <c r="E263">
        <v>1911</v>
      </c>
      <c r="F263" t="s">
        <v>612</v>
      </c>
    </row>
    <row r="264" spans="1:6" x14ac:dyDescent="0.25">
      <c r="A264">
        <v>391</v>
      </c>
      <c r="B264" t="s">
        <v>613</v>
      </c>
      <c r="E264">
        <v>2072</v>
      </c>
      <c r="F264" t="s">
        <v>614</v>
      </c>
    </row>
    <row r="265" spans="1:6" x14ac:dyDescent="0.25">
      <c r="A265">
        <v>392</v>
      </c>
      <c r="B265" t="s">
        <v>615</v>
      </c>
      <c r="E265">
        <v>2073</v>
      </c>
      <c r="F265" t="s">
        <v>616</v>
      </c>
    </row>
    <row r="266" spans="1:6" x14ac:dyDescent="0.25">
      <c r="A266">
        <v>400</v>
      </c>
      <c r="B266" t="s">
        <v>617</v>
      </c>
      <c r="E266">
        <v>2110</v>
      </c>
      <c r="F266" t="s">
        <v>618</v>
      </c>
    </row>
    <row r="267" spans="1:6" x14ac:dyDescent="0.25">
      <c r="A267">
        <v>401</v>
      </c>
      <c r="B267" t="s">
        <v>619</v>
      </c>
      <c r="E267">
        <v>2114</v>
      </c>
      <c r="F267" t="s">
        <v>620</v>
      </c>
    </row>
    <row r="268" spans="1:6" x14ac:dyDescent="0.25">
      <c r="A268">
        <v>402</v>
      </c>
      <c r="B268" t="s">
        <v>621</v>
      </c>
      <c r="E268">
        <v>2366</v>
      </c>
      <c r="F268" t="s">
        <v>622</v>
      </c>
    </row>
    <row r="269" spans="1:6" x14ac:dyDescent="0.25">
      <c r="A269">
        <v>403</v>
      </c>
      <c r="B269" t="s">
        <v>623</v>
      </c>
      <c r="E269">
        <v>2537</v>
      </c>
      <c r="F269" t="s">
        <v>624</v>
      </c>
    </row>
    <row r="270" spans="1:6" x14ac:dyDescent="0.25">
      <c r="A270">
        <v>404</v>
      </c>
      <c r="B270" t="s">
        <v>625</v>
      </c>
      <c r="E270">
        <v>2581</v>
      </c>
      <c r="F270" t="s">
        <v>626</v>
      </c>
    </row>
    <row r="271" spans="1:6" x14ac:dyDescent="0.25">
      <c r="A271">
        <v>405</v>
      </c>
      <c r="B271" t="s">
        <v>627</v>
      </c>
      <c r="E271">
        <v>8888</v>
      </c>
      <c r="F271" t="s">
        <v>628</v>
      </c>
    </row>
    <row r="272" spans="1:6" x14ac:dyDescent="0.25">
      <c r="A272">
        <v>406</v>
      </c>
      <c r="B272" t="s">
        <v>629</v>
      </c>
    </row>
    <row r="273" spans="1:2" x14ac:dyDescent="0.25">
      <c r="A273">
        <v>407</v>
      </c>
      <c r="B273" t="s">
        <v>630</v>
      </c>
    </row>
    <row r="274" spans="1:2" x14ac:dyDescent="0.25">
      <c r="A274">
        <v>408</v>
      </c>
      <c r="B274" t="s">
        <v>631</v>
      </c>
    </row>
    <row r="275" spans="1:2" x14ac:dyDescent="0.25">
      <c r="A275">
        <v>409</v>
      </c>
      <c r="B275" t="s">
        <v>632</v>
      </c>
    </row>
    <row r="276" spans="1:2" x14ac:dyDescent="0.25">
      <c r="A276">
        <v>410</v>
      </c>
      <c r="B276" t="s">
        <v>633</v>
      </c>
    </row>
    <row r="277" spans="1:2" x14ac:dyDescent="0.25">
      <c r="A277">
        <v>411</v>
      </c>
      <c r="B277" t="s">
        <v>634</v>
      </c>
    </row>
    <row r="278" spans="1:2" x14ac:dyDescent="0.25">
      <c r="A278">
        <v>412</v>
      </c>
      <c r="B278" t="s">
        <v>635</v>
      </c>
    </row>
    <row r="279" spans="1:2" x14ac:dyDescent="0.25">
      <c r="A279">
        <v>413</v>
      </c>
      <c r="B279" t="s">
        <v>636</v>
      </c>
    </row>
    <row r="280" spans="1:2" x14ac:dyDescent="0.25">
      <c r="A280">
        <v>414</v>
      </c>
      <c r="B280" t="s">
        <v>637</v>
      </c>
    </row>
    <row r="281" spans="1:2" x14ac:dyDescent="0.25">
      <c r="A281">
        <v>415</v>
      </c>
      <c r="B281" t="s">
        <v>638</v>
      </c>
    </row>
    <row r="282" spans="1:2" x14ac:dyDescent="0.25">
      <c r="A282">
        <v>416</v>
      </c>
      <c r="B282" t="s">
        <v>639</v>
      </c>
    </row>
    <row r="283" spans="1:2" x14ac:dyDescent="0.25">
      <c r="A283">
        <v>417</v>
      </c>
      <c r="B283" t="s">
        <v>640</v>
      </c>
    </row>
    <row r="284" spans="1:2" x14ac:dyDescent="0.25">
      <c r="A284">
        <v>418</v>
      </c>
      <c r="B284" t="s">
        <v>641</v>
      </c>
    </row>
    <row r="285" spans="1:2" x14ac:dyDescent="0.25">
      <c r="A285">
        <v>419</v>
      </c>
      <c r="B285" t="s">
        <v>642</v>
      </c>
    </row>
    <row r="286" spans="1:2" x14ac:dyDescent="0.25">
      <c r="A286">
        <v>420</v>
      </c>
      <c r="B286" t="s">
        <v>643</v>
      </c>
    </row>
    <row r="287" spans="1:2" x14ac:dyDescent="0.25">
      <c r="A287">
        <v>421</v>
      </c>
      <c r="B287" t="s">
        <v>644</v>
      </c>
    </row>
    <row r="288" spans="1:2" x14ac:dyDescent="0.25">
      <c r="A288">
        <v>422</v>
      </c>
      <c r="B288" t="s">
        <v>645</v>
      </c>
    </row>
    <row r="289" spans="1:2" x14ac:dyDescent="0.25">
      <c r="A289">
        <v>423</v>
      </c>
      <c r="B289" t="s">
        <v>646</v>
      </c>
    </row>
    <row r="290" spans="1:2" x14ac:dyDescent="0.25">
      <c r="A290">
        <v>424</v>
      </c>
      <c r="B290" t="s">
        <v>647</v>
      </c>
    </row>
    <row r="291" spans="1:2" x14ac:dyDescent="0.25">
      <c r="A291">
        <v>425</v>
      </c>
      <c r="B291" t="s">
        <v>648</v>
      </c>
    </row>
    <row r="292" spans="1:2" x14ac:dyDescent="0.25">
      <c r="A292">
        <v>426</v>
      </c>
      <c r="B292" t="s">
        <v>649</v>
      </c>
    </row>
    <row r="293" spans="1:2" x14ac:dyDescent="0.25">
      <c r="A293">
        <v>427</v>
      </c>
      <c r="B293" t="s">
        <v>650</v>
      </c>
    </row>
    <row r="294" spans="1:2" x14ac:dyDescent="0.25">
      <c r="A294">
        <v>428</v>
      </c>
      <c r="B294" t="s">
        <v>651</v>
      </c>
    </row>
    <row r="295" spans="1:2" x14ac:dyDescent="0.25">
      <c r="A295">
        <v>429</v>
      </c>
      <c r="B295" t="s">
        <v>652</v>
      </c>
    </row>
    <row r="296" spans="1:2" x14ac:dyDescent="0.25">
      <c r="A296">
        <v>430</v>
      </c>
      <c r="B296" t="s">
        <v>653</v>
      </c>
    </row>
    <row r="297" spans="1:2" x14ac:dyDescent="0.25">
      <c r="A297">
        <v>431</v>
      </c>
      <c r="B297" t="s">
        <v>654</v>
      </c>
    </row>
    <row r="298" spans="1:2" x14ac:dyDescent="0.25">
      <c r="A298">
        <v>432</v>
      </c>
      <c r="B298" t="s">
        <v>655</v>
      </c>
    </row>
    <row r="299" spans="1:2" x14ac:dyDescent="0.25">
      <c r="A299">
        <v>433</v>
      </c>
      <c r="B299" t="s">
        <v>656</v>
      </c>
    </row>
    <row r="300" spans="1:2" x14ac:dyDescent="0.25">
      <c r="A300">
        <v>434</v>
      </c>
      <c r="B300" t="s">
        <v>657</v>
      </c>
    </row>
    <row r="301" spans="1:2" x14ac:dyDescent="0.25">
      <c r="A301">
        <v>435</v>
      </c>
      <c r="B301" t="s">
        <v>658</v>
      </c>
    </row>
    <row r="302" spans="1:2" x14ac:dyDescent="0.25">
      <c r="A302">
        <v>436</v>
      </c>
      <c r="B302" t="s">
        <v>659</v>
      </c>
    </row>
    <row r="303" spans="1:2" x14ac:dyDescent="0.25">
      <c r="A303">
        <v>437</v>
      </c>
      <c r="B303" t="s">
        <v>660</v>
      </c>
    </row>
    <row r="304" spans="1:2" x14ac:dyDescent="0.25">
      <c r="A304">
        <v>438</v>
      </c>
      <c r="B304" t="s">
        <v>661</v>
      </c>
    </row>
    <row r="305" spans="1:2" x14ac:dyDescent="0.25">
      <c r="A305">
        <v>439</v>
      </c>
      <c r="B305" t="s">
        <v>662</v>
      </c>
    </row>
    <row r="306" spans="1:2" x14ac:dyDescent="0.25">
      <c r="A306">
        <v>440</v>
      </c>
      <c r="B306" t="s">
        <v>663</v>
      </c>
    </row>
    <row r="307" spans="1:2" x14ac:dyDescent="0.25">
      <c r="A307">
        <v>441</v>
      </c>
      <c r="B307" t="s">
        <v>664</v>
      </c>
    </row>
    <row r="308" spans="1:2" x14ac:dyDescent="0.25">
      <c r="A308">
        <v>442</v>
      </c>
      <c r="B308" t="s">
        <v>665</v>
      </c>
    </row>
    <row r="309" spans="1:2" x14ac:dyDescent="0.25">
      <c r="A309">
        <v>443</v>
      </c>
      <c r="B309" t="s">
        <v>666</v>
      </c>
    </row>
    <row r="310" spans="1:2" x14ac:dyDescent="0.25">
      <c r="A310">
        <v>444</v>
      </c>
      <c r="B310" t="s">
        <v>667</v>
      </c>
    </row>
    <row r="311" spans="1:2" x14ac:dyDescent="0.25">
      <c r="A311">
        <v>445</v>
      </c>
      <c r="B311" t="s">
        <v>668</v>
      </c>
    </row>
    <row r="312" spans="1:2" x14ac:dyDescent="0.25">
      <c r="A312">
        <v>446</v>
      </c>
      <c r="B312" t="s">
        <v>669</v>
      </c>
    </row>
    <row r="313" spans="1:2" x14ac:dyDescent="0.25">
      <c r="A313">
        <v>447</v>
      </c>
      <c r="B313" t="s">
        <v>670</v>
      </c>
    </row>
    <row r="314" spans="1:2" x14ac:dyDescent="0.25">
      <c r="A314">
        <v>448</v>
      </c>
      <c r="B314" t="s">
        <v>671</v>
      </c>
    </row>
    <row r="315" spans="1:2" x14ac:dyDescent="0.25">
      <c r="A315">
        <v>449</v>
      </c>
      <c r="B315" t="s">
        <v>672</v>
      </c>
    </row>
    <row r="316" spans="1:2" x14ac:dyDescent="0.25">
      <c r="A316">
        <v>450</v>
      </c>
      <c r="B316" t="s">
        <v>673</v>
      </c>
    </row>
    <row r="317" spans="1:2" x14ac:dyDescent="0.25">
      <c r="A317">
        <v>451</v>
      </c>
      <c r="B317" t="s">
        <v>674</v>
      </c>
    </row>
    <row r="318" spans="1:2" x14ac:dyDescent="0.25">
      <c r="A318">
        <v>452</v>
      </c>
      <c r="B318" t="s">
        <v>675</v>
      </c>
    </row>
    <row r="319" spans="1:2" x14ac:dyDescent="0.25">
      <c r="A319">
        <v>453</v>
      </c>
      <c r="B319" t="s">
        <v>676</v>
      </c>
    </row>
    <row r="320" spans="1:2" x14ac:dyDescent="0.25">
      <c r="A320">
        <v>454</v>
      </c>
      <c r="B320" t="s">
        <v>677</v>
      </c>
    </row>
    <row r="321" spans="1:2" x14ac:dyDescent="0.25">
      <c r="A321">
        <v>455</v>
      </c>
      <c r="B321" t="s">
        <v>678</v>
      </c>
    </row>
    <row r="322" spans="1:2" x14ac:dyDescent="0.25">
      <c r="A322">
        <v>456</v>
      </c>
      <c r="B322" t="s">
        <v>679</v>
      </c>
    </row>
    <row r="323" spans="1:2" x14ac:dyDescent="0.25">
      <c r="A323">
        <v>457</v>
      </c>
      <c r="B323" t="s">
        <v>680</v>
      </c>
    </row>
    <row r="324" spans="1:2" x14ac:dyDescent="0.25">
      <c r="A324">
        <v>500</v>
      </c>
      <c r="B324" t="s">
        <v>681</v>
      </c>
    </row>
    <row r="325" spans="1:2" x14ac:dyDescent="0.25">
      <c r="A325">
        <v>501</v>
      </c>
      <c r="B325" t="s">
        <v>682</v>
      </c>
    </row>
    <row r="326" spans="1:2" x14ac:dyDescent="0.25">
      <c r="A326">
        <v>502</v>
      </c>
      <c r="B326" t="s">
        <v>683</v>
      </c>
    </row>
    <row r="327" spans="1:2" x14ac:dyDescent="0.25">
      <c r="A327">
        <v>503</v>
      </c>
      <c r="B327" t="s">
        <v>684</v>
      </c>
    </row>
    <row r="328" spans="1:2" x14ac:dyDescent="0.25">
      <c r="A328">
        <v>504</v>
      </c>
      <c r="B328" t="s">
        <v>685</v>
      </c>
    </row>
    <row r="329" spans="1:2" x14ac:dyDescent="0.25">
      <c r="A329">
        <v>505</v>
      </c>
      <c r="B329" t="s">
        <v>686</v>
      </c>
    </row>
    <row r="330" spans="1:2" x14ac:dyDescent="0.25">
      <c r="A330">
        <v>506</v>
      </c>
      <c r="B330" t="s">
        <v>687</v>
      </c>
    </row>
    <row r="331" spans="1:2" x14ac:dyDescent="0.25">
      <c r="A331">
        <v>507</v>
      </c>
      <c r="B331" t="s">
        <v>688</v>
      </c>
    </row>
    <row r="332" spans="1:2" x14ac:dyDescent="0.25">
      <c r="A332">
        <v>508</v>
      </c>
      <c r="B332" t="s">
        <v>689</v>
      </c>
    </row>
    <row r="333" spans="1:2" x14ac:dyDescent="0.25">
      <c r="A333">
        <v>509</v>
      </c>
      <c r="B333" t="s">
        <v>690</v>
      </c>
    </row>
    <row r="334" spans="1:2" x14ac:dyDescent="0.25">
      <c r="A334">
        <v>510</v>
      </c>
      <c r="B334" t="s">
        <v>691</v>
      </c>
    </row>
    <row r="335" spans="1:2" x14ac:dyDescent="0.25">
      <c r="A335">
        <v>511</v>
      </c>
      <c r="B335" t="s">
        <v>692</v>
      </c>
    </row>
    <row r="336" spans="1:2" x14ac:dyDescent="0.25">
      <c r="A336">
        <v>512</v>
      </c>
      <c r="B336" t="s">
        <v>693</v>
      </c>
    </row>
    <row r="337" spans="1:2" x14ac:dyDescent="0.25">
      <c r="A337">
        <v>513</v>
      </c>
      <c r="B337" t="s">
        <v>694</v>
      </c>
    </row>
    <row r="338" spans="1:2" x14ac:dyDescent="0.25">
      <c r="A338">
        <v>514</v>
      </c>
      <c r="B338" t="s">
        <v>695</v>
      </c>
    </row>
    <row r="339" spans="1:2" x14ac:dyDescent="0.25">
      <c r="A339">
        <v>515</v>
      </c>
      <c r="B339" t="s">
        <v>696</v>
      </c>
    </row>
    <row r="340" spans="1:2" x14ac:dyDescent="0.25">
      <c r="A340">
        <v>516</v>
      </c>
      <c r="B340" t="s">
        <v>697</v>
      </c>
    </row>
    <row r="341" spans="1:2" x14ac:dyDescent="0.25">
      <c r="A341">
        <v>517</v>
      </c>
      <c r="B341" t="s">
        <v>698</v>
      </c>
    </row>
    <row r="342" spans="1:2" x14ac:dyDescent="0.25">
      <c r="A342">
        <v>518</v>
      </c>
      <c r="B342" t="s">
        <v>699</v>
      </c>
    </row>
    <row r="343" spans="1:2" x14ac:dyDescent="0.25">
      <c r="A343">
        <v>519</v>
      </c>
      <c r="B343" t="s">
        <v>700</v>
      </c>
    </row>
    <row r="344" spans="1:2" x14ac:dyDescent="0.25">
      <c r="A344">
        <v>520</v>
      </c>
      <c r="B344" t="s">
        <v>701</v>
      </c>
    </row>
    <row r="345" spans="1:2" x14ac:dyDescent="0.25">
      <c r="A345">
        <v>521</v>
      </c>
      <c r="B345" t="s">
        <v>702</v>
      </c>
    </row>
    <row r="346" spans="1:2" x14ac:dyDescent="0.25">
      <c r="A346">
        <v>522</v>
      </c>
      <c r="B346" t="s">
        <v>703</v>
      </c>
    </row>
    <row r="347" spans="1:2" x14ac:dyDescent="0.25">
      <c r="A347">
        <v>523</v>
      </c>
      <c r="B347" t="s">
        <v>704</v>
      </c>
    </row>
    <row r="348" spans="1:2" x14ac:dyDescent="0.25">
      <c r="A348">
        <v>524</v>
      </c>
      <c r="B348" t="s">
        <v>705</v>
      </c>
    </row>
    <row r="349" spans="1:2" x14ac:dyDescent="0.25">
      <c r="A349">
        <v>525</v>
      </c>
      <c r="B349" t="s">
        <v>706</v>
      </c>
    </row>
    <row r="350" spans="1:2" x14ac:dyDescent="0.25">
      <c r="A350">
        <v>526</v>
      </c>
      <c r="B350" t="s">
        <v>707</v>
      </c>
    </row>
    <row r="351" spans="1:2" x14ac:dyDescent="0.25">
      <c r="A351">
        <v>527</v>
      </c>
      <c r="B351" t="s">
        <v>708</v>
      </c>
    </row>
    <row r="352" spans="1:2" x14ac:dyDescent="0.25">
      <c r="A352">
        <v>528</v>
      </c>
      <c r="B352" t="s">
        <v>709</v>
      </c>
    </row>
    <row r="353" spans="1:2" x14ac:dyDescent="0.25">
      <c r="A353">
        <v>529</v>
      </c>
      <c r="B353" t="s">
        <v>710</v>
      </c>
    </row>
    <row r="354" spans="1:2" x14ac:dyDescent="0.25">
      <c r="A354">
        <v>530</v>
      </c>
      <c r="B354" t="s">
        <v>711</v>
      </c>
    </row>
    <row r="355" spans="1:2" x14ac:dyDescent="0.25">
      <c r="A355">
        <v>531</v>
      </c>
      <c r="B355" t="s">
        <v>712</v>
      </c>
    </row>
    <row r="356" spans="1:2" x14ac:dyDescent="0.25">
      <c r="A356">
        <v>532</v>
      </c>
      <c r="B356" t="s">
        <v>713</v>
      </c>
    </row>
    <row r="357" spans="1:2" x14ac:dyDescent="0.25">
      <c r="A357">
        <v>533</v>
      </c>
      <c r="B357" t="s">
        <v>714</v>
      </c>
    </row>
    <row r="358" spans="1:2" x14ac:dyDescent="0.25">
      <c r="A358">
        <v>534</v>
      </c>
      <c r="B358" t="s">
        <v>715</v>
      </c>
    </row>
    <row r="359" spans="1:2" x14ac:dyDescent="0.25">
      <c r="A359">
        <v>535</v>
      </c>
      <c r="B359" t="s">
        <v>716</v>
      </c>
    </row>
    <row r="360" spans="1:2" x14ac:dyDescent="0.25">
      <c r="A360">
        <v>536</v>
      </c>
      <c r="B360" t="s">
        <v>717</v>
      </c>
    </row>
    <row r="361" spans="1:2" x14ac:dyDescent="0.25">
      <c r="A361">
        <v>537</v>
      </c>
      <c r="B361" t="s">
        <v>718</v>
      </c>
    </row>
    <row r="362" spans="1:2" x14ac:dyDescent="0.25">
      <c r="A362">
        <v>538</v>
      </c>
      <c r="B362" t="s">
        <v>719</v>
      </c>
    </row>
    <row r="363" spans="1:2" x14ac:dyDescent="0.25">
      <c r="A363">
        <v>539</v>
      </c>
      <c r="B363" t="s">
        <v>720</v>
      </c>
    </row>
    <row r="364" spans="1:2" x14ac:dyDescent="0.25">
      <c r="A364">
        <v>540</v>
      </c>
      <c r="B364" t="s">
        <v>721</v>
      </c>
    </row>
    <row r="365" spans="1:2" x14ac:dyDescent="0.25">
      <c r="A365">
        <v>541</v>
      </c>
      <c r="B365" t="s">
        <v>722</v>
      </c>
    </row>
    <row r="366" spans="1:2" x14ac:dyDescent="0.25">
      <c r="A366">
        <v>542</v>
      </c>
      <c r="B366" t="s">
        <v>723</v>
      </c>
    </row>
    <row r="367" spans="1:2" x14ac:dyDescent="0.25">
      <c r="A367">
        <v>543</v>
      </c>
      <c r="B367" t="s">
        <v>724</v>
      </c>
    </row>
    <row r="368" spans="1:2" x14ac:dyDescent="0.25">
      <c r="A368">
        <v>544</v>
      </c>
      <c r="B368" t="s">
        <v>725</v>
      </c>
    </row>
    <row r="369" spans="1:2" x14ac:dyDescent="0.25">
      <c r="A369">
        <v>545</v>
      </c>
      <c r="B369" t="s">
        <v>726</v>
      </c>
    </row>
    <row r="370" spans="1:2" x14ac:dyDescent="0.25">
      <c r="A370">
        <v>546</v>
      </c>
      <c r="B370" t="s">
        <v>727</v>
      </c>
    </row>
    <row r="371" spans="1:2" x14ac:dyDescent="0.25">
      <c r="A371">
        <v>600</v>
      </c>
      <c r="B371" t="s">
        <v>728</v>
      </c>
    </row>
    <row r="372" spans="1:2" x14ac:dyDescent="0.25">
      <c r="A372">
        <v>601</v>
      </c>
      <c r="B372" t="s">
        <v>729</v>
      </c>
    </row>
    <row r="373" spans="1:2" x14ac:dyDescent="0.25">
      <c r="A373">
        <v>602</v>
      </c>
      <c r="B373" t="s">
        <v>730</v>
      </c>
    </row>
    <row r="374" spans="1:2" x14ac:dyDescent="0.25">
      <c r="A374">
        <v>603</v>
      </c>
      <c r="B374" t="s">
        <v>731</v>
      </c>
    </row>
    <row r="375" spans="1:2" x14ac:dyDescent="0.25">
      <c r="A375">
        <v>604</v>
      </c>
      <c r="B375" t="s">
        <v>732</v>
      </c>
    </row>
    <row r="376" spans="1:2" x14ac:dyDescent="0.25">
      <c r="A376">
        <v>605</v>
      </c>
      <c r="B376" t="s">
        <v>733</v>
      </c>
    </row>
    <row r="377" spans="1:2" x14ac:dyDescent="0.25">
      <c r="A377">
        <v>606</v>
      </c>
      <c r="B377" t="s">
        <v>734</v>
      </c>
    </row>
    <row r="378" spans="1:2" x14ac:dyDescent="0.25">
      <c r="A378">
        <v>607</v>
      </c>
      <c r="B378" t="s">
        <v>735</v>
      </c>
    </row>
    <row r="379" spans="1:2" x14ac:dyDescent="0.25">
      <c r="A379">
        <v>608</v>
      </c>
      <c r="B379" t="s">
        <v>736</v>
      </c>
    </row>
    <row r="380" spans="1:2" x14ac:dyDescent="0.25">
      <c r="A380">
        <v>609</v>
      </c>
      <c r="B380" t="s">
        <v>737</v>
      </c>
    </row>
    <row r="381" spans="1:2" x14ac:dyDescent="0.25">
      <c r="A381">
        <v>610</v>
      </c>
      <c r="B381" t="s">
        <v>738</v>
      </c>
    </row>
    <row r="382" spans="1:2" x14ac:dyDescent="0.25">
      <c r="A382">
        <v>611</v>
      </c>
      <c r="B382" t="s">
        <v>739</v>
      </c>
    </row>
    <row r="383" spans="1:2" x14ac:dyDescent="0.25">
      <c r="A383">
        <v>612</v>
      </c>
      <c r="B383" t="s">
        <v>740</v>
      </c>
    </row>
    <row r="384" spans="1:2" x14ac:dyDescent="0.25">
      <c r="A384">
        <v>613</v>
      </c>
      <c r="B384" t="s">
        <v>741</v>
      </c>
    </row>
    <row r="385" spans="1:2" x14ac:dyDescent="0.25">
      <c r="A385">
        <v>614</v>
      </c>
      <c r="B385" t="s">
        <v>742</v>
      </c>
    </row>
    <row r="386" spans="1:2" x14ac:dyDescent="0.25">
      <c r="A386">
        <v>615</v>
      </c>
      <c r="B386" t="s">
        <v>743</v>
      </c>
    </row>
    <row r="387" spans="1:2" x14ac:dyDescent="0.25">
      <c r="A387">
        <v>616</v>
      </c>
      <c r="B387" t="s">
        <v>744</v>
      </c>
    </row>
    <row r="388" spans="1:2" x14ac:dyDescent="0.25">
      <c r="A388">
        <v>617</v>
      </c>
      <c r="B388" t="s">
        <v>745</v>
      </c>
    </row>
    <row r="389" spans="1:2" x14ac:dyDescent="0.25">
      <c r="A389">
        <v>618</v>
      </c>
      <c r="B389" t="s">
        <v>746</v>
      </c>
    </row>
    <row r="390" spans="1:2" x14ac:dyDescent="0.25">
      <c r="A390">
        <v>619</v>
      </c>
      <c r="B390" t="s">
        <v>747</v>
      </c>
    </row>
    <row r="391" spans="1:2" x14ac:dyDescent="0.25">
      <c r="A391">
        <v>620</v>
      </c>
      <c r="B391" t="s">
        <v>748</v>
      </c>
    </row>
    <row r="392" spans="1:2" x14ac:dyDescent="0.25">
      <c r="A392">
        <v>621</v>
      </c>
      <c r="B392" t="s">
        <v>749</v>
      </c>
    </row>
    <row r="393" spans="1:2" x14ac:dyDescent="0.25">
      <c r="A393">
        <v>622</v>
      </c>
      <c r="B393" t="s">
        <v>750</v>
      </c>
    </row>
    <row r="394" spans="1:2" x14ac:dyDescent="0.25">
      <c r="A394">
        <v>623</v>
      </c>
      <c r="B394" t="s">
        <v>751</v>
      </c>
    </row>
    <row r="395" spans="1:2" x14ac:dyDescent="0.25">
      <c r="A395">
        <v>624</v>
      </c>
      <c r="B395" t="s">
        <v>752</v>
      </c>
    </row>
    <row r="396" spans="1:2" x14ac:dyDescent="0.25">
      <c r="A396">
        <v>625</v>
      </c>
      <c r="B396" t="s">
        <v>753</v>
      </c>
    </row>
    <row r="397" spans="1:2" x14ac:dyDescent="0.25">
      <c r="A397">
        <v>626</v>
      </c>
      <c r="B397" t="s">
        <v>754</v>
      </c>
    </row>
    <row r="398" spans="1:2" x14ac:dyDescent="0.25">
      <c r="A398">
        <v>627</v>
      </c>
      <c r="B398" t="s">
        <v>755</v>
      </c>
    </row>
    <row r="399" spans="1:2" x14ac:dyDescent="0.25">
      <c r="A399">
        <v>628</v>
      </c>
      <c r="B399" t="s">
        <v>756</v>
      </c>
    </row>
    <row r="400" spans="1:2" x14ac:dyDescent="0.25">
      <c r="A400">
        <v>629</v>
      </c>
      <c r="B400" t="s">
        <v>757</v>
      </c>
    </row>
    <row r="401" spans="1:2" x14ac:dyDescent="0.25">
      <c r="A401">
        <v>630</v>
      </c>
      <c r="B401" t="s">
        <v>758</v>
      </c>
    </row>
    <row r="402" spans="1:2" x14ac:dyDescent="0.25">
      <c r="A402">
        <v>631</v>
      </c>
      <c r="B402" t="s">
        <v>759</v>
      </c>
    </row>
    <row r="403" spans="1:2" x14ac:dyDescent="0.25">
      <c r="A403">
        <v>632</v>
      </c>
      <c r="B403" t="s">
        <v>760</v>
      </c>
    </row>
    <row r="404" spans="1:2" x14ac:dyDescent="0.25">
      <c r="A404">
        <v>633</v>
      </c>
      <c r="B404" t="s">
        <v>761</v>
      </c>
    </row>
    <row r="405" spans="1:2" x14ac:dyDescent="0.25">
      <c r="A405">
        <v>634</v>
      </c>
      <c r="B405" t="s">
        <v>762</v>
      </c>
    </row>
    <row r="406" spans="1:2" x14ac:dyDescent="0.25">
      <c r="A406">
        <v>635</v>
      </c>
      <c r="B406" t="s">
        <v>763</v>
      </c>
    </row>
    <row r="407" spans="1:2" x14ac:dyDescent="0.25">
      <c r="A407">
        <v>636</v>
      </c>
      <c r="B407" t="s">
        <v>764</v>
      </c>
    </row>
    <row r="408" spans="1:2" x14ac:dyDescent="0.25">
      <c r="A408">
        <v>637</v>
      </c>
      <c r="B408" t="s">
        <v>765</v>
      </c>
    </row>
    <row r="409" spans="1:2" x14ac:dyDescent="0.25">
      <c r="A409">
        <v>638</v>
      </c>
      <c r="B409" t="s">
        <v>766</v>
      </c>
    </row>
    <row r="410" spans="1:2" x14ac:dyDescent="0.25">
      <c r="A410">
        <v>639</v>
      </c>
      <c r="B410" t="s">
        <v>767</v>
      </c>
    </row>
    <row r="411" spans="1:2" x14ac:dyDescent="0.25">
      <c r="A411">
        <v>640</v>
      </c>
      <c r="B411" t="s">
        <v>768</v>
      </c>
    </row>
    <row r="412" spans="1:2" x14ac:dyDescent="0.25">
      <c r="A412">
        <v>641</v>
      </c>
      <c r="B412" t="s">
        <v>769</v>
      </c>
    </row>
    <row r="413" spans="1:2" x14ac:dyDescent="0.25">
      <c r="A413">
        <v>642</v>
      </c>
      <c r="B413" t="s">
        <v>770</v>
      </c>
    </row>
    <row r="414" spans="1:2" x14ac:dyDescent="0.25">
      <c r="A414">
        <v>643</v>
      </c>
      <c r="B414" t="s">
        <v>771</v>
      </c>
    </row>
    <row r="415" spans="1:2" x14ac:dyDescent="0.25">
      <c r="A415">
        <v>644</v>
      </c>
      <c r="B415" t="s">
        <v>772</v>
      </c>
    </row>
    <row r="416" spans="1:2" x14ac:dyDescent="0.25">
      <c r="A416">
        <v>645</v>
      </c>
      <c r="B416" t="s">
        <v>773</v>
      </c>
    </row>
    <row r="417" spans="1:2" x14ac:dyDescent="0.25">
      <c r="A417">
        <v>646</v>
      </c>
      <c r="B417" t="s">
        <v>774</v>
      </c>
    </row>
    <row r="418" spans="1:2" x14ac:dyDescent="0.25">
      <c r="A418">
        <v>647</v>
      </c>
      <c r="B418" t="s">
        <v>775</v>
      </c>
    </row>
    <row r="419" spans="1:2" x14ac:dyDescent="0.25">
      <c r="A419">
        <v>648</v>
      </c>
      <c r="B419" t="s">
        <v>776</v>
      </c>
    </row>
    <row r="420" spans="1:2" x14ac:dyDescent="0.25">
      <c r="A420">
        <v>649</v>
      </c>
      <c r="B420" t="s">
        <v>777</v>
      </c>
    </row>
    <row r="421" spans="1:2" x14ac:dyDescent="0.25">
      <c r="A421">
        <v>650</v>
      </c>
      <c r="B421" t="s">
        <v>778</v>
      </c>
    </row>
    <row r="422" spans="1:2" x14ac:dyDescent="0.25">
      <c r="A422">
        <v>651</v>
      </c>
      <c r="B422" t="s">
        <v>779</v>
      </c>
    </row>
    <row r="423" spans="1:2" x14ac:dyDescent="0.25">
      <c r="A423">
        <v>652</v>
      </c>
      <c r="B423" t="s">
        <v>780</v>
      </c>
    </row>
    <row r="424" spans="1:2" x14ac:dyDescent="0.25">
      <c r="A424">
        <v>653</v>
      </c>
      <c r="B424" t="s">
        <v>781</v>
      </c>
    </row>
    <row r="425" spans="1:2" x14ac:dyDescent="0.25">
      <c r="A425">
        <v>654</v>
      </c>
      <c r="B425" t="s">
        <v>782</v>
      </c>
    </row>
    <row r="426" spans="1:2" x14ac:dyDescent="0.25">
      <c r="A426">
        <v>655</v>
      </c>
      <c r="B426" t="s">
        <v>783</v>
      </c>
    </row>
    <row r="427" spans="1:2" x14ac:dyDescent="0.25">
      <c r="A427">
        <v>656</v>
      </c>
      <c r="B427" t="s">
        <v>784</v>
      </c>
    </row>
    <row r="428" spans="1:2" x14ac:dyDescent="0.25">
      <c r="A428">
        <v>657</v>
      </c>
      <c r="B428" t="s">
        <v>785</v>
      </c>
    </row>
    <row r="429" spans="1:2" x14ac:dyDescent="0.25">
      <c r="A429">
        <v>658</v>
      </c>
      <c r="B429" t="s">
        <v>786</v>
      </c>
    </row>
    <row r="430" spans="1:2" x14ac:dyDescent="0.25">
      <c r="A430">
        <v>659</v>
      </c>
      <c r="B430" t="s">
        <v>787</v>
      </c>
    </row>
    <row r="431" spans="1:2" x14ac:dyDescent="0.25">
      <c r="A431">
        <v>660</v>
      </c>
      <c r="B431" t="s">
        <v>788</v>
      </c>
    </row>
    <row r="432" spans="1:2" x14ac:dyDescent="0.25">
      <c r="A432">
        <v>661</v>
      </c>
      <c r="B432" t="s">
        <v>789</v>
      </c>
    </row>
    <row r="433" spans="1:2" x14ac:dyDescent="0.25">
      <c r="A433">
        <v>662</v>
      </c>
      <c r="B433" t="s">
        <v>790</v>
      </c>
    </row>
    <row r="434" spans="1:2" x14ac:dyDescent="0.25">
      <c r="A434">
        <v>663</v>
      </c>
      <c r="B434" t="s">
        <v>791</v>
      </c>
    </row>
    <row r="435" spans="1:2" x14ac:dyDescent="0.25">
      <c r="A435">
        <v>664</v>
      </c>
      <c r="B435" t="s">
        <v>792</v>
      </c>
    </row>
    <row r="436" spans="1:2" x14ac:dyDescent="0.25">
      <c r="A436">
        <v>665</v>
      </c>
      <c r="B436" t="s">
        <v>793</v>
      </c>
    </row>
    <row r="437" spans="1:2" x14ac:dyDescent="0.25">
      <c r="A437">
        <v>666</v>
      </c>
      <c r="B437" t="s">
        <v>794</v>
      </c>
    </row>
    <row r="438" spans="1:2" x14ac:dyDescent="0.25">
      <c r="A438">
        <v>667</v>
      </c>
      <c r="B438" t="s">
        <v>795</v>
      </c>
    </row>
    <row r="439" spans="1:2" x14ac:dyDescent="0.25">
      <c r="A439">
        <v>668</v>
      </c>
      <c r="B439" t="s">
        <v>796</v>
      </c>
    </row>
    <row r="440" spans="1:2" x14ac:dyDescent="0.25">
      <c r="A440">
        <v>669</v>
      </c>
      <c r="B440" t="s">
        <v>797</v>
      </c>
    </row>
    <row r="441" spans="1:2" x14ac:dyDescent="0.25">
      <c r="A441">
        <v>670</v>
      </c>
      <c r="B441" t="s">
        <v>798</v>
      </c>
    </row>
    <row r="442" spans="1:2" x14ac:dyDescent="0.25">
      <c r="A442">
        <v>671</v>
      </c>
      <c r="B442" t="s">
        <v>799</v>
      </c>
    </row>
    <row r="443" spans="1:2" x14ac:dyDescent="0.25">
      <c r="A443">
        <v>672</v>
      </c>
      <c r="B443" t="s">
        <v>800</v>
      </c>
    </row>
    <row r="444" spans="1:2" x14ac:dyDescent="0.25">
      <c r="A444">
        <v>673</v>
      </c>
      <c r="B444" t="s">
        <v>801</v>
      </c>
    </row>
    <row r="445" spans="1:2" x14ac:dyDescent="0.25">
      <c r="A445">
        <v>674</v>
      </c>
      <c r="B445" t="s">
        <v>802</v>
      </c>
    </row>
    <row r="446" spans="1:2" x14ac:dyDescent="0.25">
      <c r="A446">
        <v>675</v>
      </c>
      <c r="B446" t="s">
        <v>803</v>
      </c>
    </row>
    <row r="447" spans="1:2" x14ac:dyDescent="0.25">
      <c r="A447">
        <v>676</v>
      </c>
      <c r="B447" t="s">
        <v>804</v>
      </c>
    </row>
    <row r="448" spans="1:2" x14ac:dyDescent="0.25">
      <c r="A448">
        <v>677</v>
      </c>
      <c r="B448" t="s">
        <v>805</v>
      </c>
    </row>
    <row r="449" spans="1:2" x14ac:dyDescent="0.25">
      <c r="A449">
        <v>678</v>
      </c>
      <c r="B449" t="s">
        <v>806</v>
      </c>
    </row>
    <row r="450" spans="1:2" x14ac:dyDescent="0.25">
      <c r="A450">
        <v>679</v>
      </c>
      <c r="B450" t="s">
        <v>807</v>
      </c>
    </row>
    <row r="451" spans="1:2" x14ac:dyDescent="0.25">
      <c r="A451">
        <v>680</v>
      </c>
      <c r="B451" t="s">
        <v>808</v>
      </c>
    </row>
    <row r="452" spans="1:2" x14ac:dyDescent="0.25">
      <c r="A452">
        <v>681</v>
      </c>
      <c r="B452" t="s">
        <v>809</v>
      </c>
    </row>
    <row r="453" spans="1:2" x14ac:dyDescent="0.25">
      <c r="A453">
        <v>682</v>
      </c>
      <c r="B453" t="s">
        <v>810</v>
      </c>
    </row>
    <row r="454" spans="1:2" x14ac:dyDescent="0.25">
      <c r="A454">
        <v>683</v>
      </c>
      <c r="B454" t="s">
        <v>811</v>
      </c>
    </row>
    <row r="455" spans="1:2" x14ac:dyDescent="0.25">
      <c r="A455">
        <v>684</v>
      </c>
      <c r="B455" t="s">
        <v>812</v>
      </c>
    </row>
    <row r="456" spans="1:2" x14ac:dyDescent="0.25">
      <c r="A456">
        <v>685</v>
      </c>
      <c r="B456" t="s">
        <v>813</v>
      </c>
    </row>
    <row r="457" spans="1:2" x14ac:dyDescent="0.25">
      <c r="A457">
        <v>686</v>
      </c>
      <c r="B457" t="s">
        <v>814</v>
      </c>
    </row>
    <row r="458" spans="1:2" x14ac:dyDescent="0.25">
      <c r="A458">
        <v>687</v>
      </c>
      <c r="B458" t="s">
        <v>815</v>
      </c>
    </row>
    <row r="459" spans="1:2" x14ac:dyDescent="0.25">
      <c r="A459">
        <v>688</v>
      </c>
      <c r="B459" t="s">
        <v>816</v>
      </c>
    </row>
    <row r="460" spans="1:2" x14ac:dyDescent="0.25">
      <c r="A460">
        <v>800</v>
      </c>
      <c r="B460" t="s">
        <v>817</v>
      </c>
    </row>
    <row r="461" spans="1:2" x14ac:dyDescent="0.25">
      <c r="A461">
        <v>801</v>
      </c>
      <c r="B461" t="s">
        <v>818</v>
      </c>
    </row>
    <row r="462" spans="1:2" x14ac:dyDescent="0.25">
      <c r="A462">
        <v>802</v>
      </c>
      <c r="B462" t="s">
        <v>819</v>
      </c>
    </row>
    <row r="463" spans="1:2" x14ac:dyDescent="0.25">
      <c r="A463">
        <v>803</v>
      </c>
      <c r="B463" t="s">
        <v>820</v>
      </c>
    </row>
    <row r="464" spans="1:2" x14ac:dyDescent="0.25">
      <c r="A464">
        <v>804</v>
      </c>
      <c r="B464" t="s">
        <v>821</v>
      </c>
    </row>
    <row r="465" spans="1:2" x14ac:dyDescent="0.25">
      <c r="A465">
        <v>805</v>
      </c>
      <c r="B465" t="s">
        <v>822</v>
      </c>
    </row>
    <row r="466" spans="1:2" x14ac:dyDescent="0.25">
      <c r="A466">
        <v>806</v>
      </c>
      <c r="B466" t="s">
        <v>823</v>
      </c>
    </row>
    <row r="467" spans="1:2" x14ac:dyDescent="0.25">
      <c r="A467">
        <v>807</v>
      </c>
      <c r="B467" t="s">
        <v>824</v>
      </c>
    </row>
    <row r="468" spans="1:2" x14ac:dyDescent="0.25">
      <c r="A468">
        <v>808</v>
      </c>
      <c r="B468" t="s">
        <v>825</v>
      </c>
    </row>
    <row r="469" spans="1:2" x14ac:dyDescent="0.25">
      <c r="A469">
        <v>809</v>
      </c>
      <c r="B469" t="s">
        <v>826</v>
      </c>
    </row>
    <row r="470" spans="1:2" x14ac:dyDescent="0.25">
      <c r="A470">
        <v>810</v>
      </c>
      <c r="B470" t="s">
        <v>827</v>
      </c>
    </row>
    <row r="471" spans="1:2" x14ac:dyDescent="0.25">
      <c r="A471">
        <v>811</v>
      </c>
      <c r="B471" t="s">
        <v>828</v>
      </c>
    </row>
    <row r="472" spans="1:2" x14ac:dyDescent="0.25">
      <c r="A472">
        <v>812</v>
      </c>
      <c r="B472" t="s">
        <v>829</v>
      </c>
    </row>
    <row r="473" spans="1:2" x14ac:dyDescent="0.25">
      <c r="A473">
        <v>813</v>
      </c>
      <c r="B473" t="s">
        <v>830</v>
      </c>
    </row>
    <row r="474" spans="1:2" x14ac:dyDescent="0.25">
      <c r="A474">
        <v>814</v>
      </c>
      <c r="B474" t="s">
        <v>831</v>
      </c>
    </row>
    <row r="475" spans="1:2" x14ac:dyDescent="0.25">
      <c r="A475">
        <v>815</v>
      </c>
      <c r="B475" t="s">
        <v>832</v>
      </c>
    </row>
    <row r="476" spans="1:2" x14ac:dyDescent="0.25">
      <c r="A476">
        <v>816</v>
      </c>
      <c r="B476" t="s">
        <v>833</v>
      </c>
    </row>
    <row r="477" spans="1:2" x14ac:dyDescent="0.25">
      <c r="A477">
        <v>817</v>
      </c>
      <c r="B477" t="s">
        <v>834</v>
      </c>
    </row>
    <row r="478" spans="1:2" x14ac:dyDescent="0.25">
      <c r="A478">
        <v>818</v>
      </c>
      <c r="B478" t="s">
        <v>835</v>
      </c>
    </row>
    <row r="479" spans="1:2" x14ac:dyDescent="0.25">
      <c r="A479">
        <v>819</v>
      </c>
      <c r="B479" t="s">
        <v>836</v>
      </c>
    </row>
    <row r="480" spans="1:2" x14ac:dyDescent="0.25">
      <c r="A480">
        <v>820</v>
      </c>
      <c r="B480" t="s">
        <v>837</v>
      </c>
    </row>
    <row r="481" spans="1:2" x14ac:dyDescent="0.25">
      <c r="A481">
        <v>821</v>
      </c>
      <c r="B481" t="s">
        <v>838</v>
      </c>
    </row>
    <row r="482" spans="1:2" x14ac:dyDescent="0.25">
      <c r="A482">
        <v>822</v>
      </c>
      <c r="B482" t="s">
        <v>839</v>
      </c>
    </row>
  </sheetData>
  <sheetProtection algorithmName="SHA-512" hashValue="1/c9KRx2de6LzFJP3aGweVbKtTtk8IP2phYFlueZ645jvPj0MzmeUuYs87FC19uRnGyLtuw/Oh5zrX1xB3U+Bg==" saltValue="+eeWXpw1yAn+m5p4ItEOC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Passive Gear</vt:lpstr>
      <vt:lpstr>Lists</vt:lpstr>
      <vt:lpstr>GearTypep</vt:lpstr>
      <vt:lpstr>GearTypep1</vt:lpstr>
      <vt:lpstr>GearTypep2</vt:lpstr>
      <vt:lpstr>Macrohabitatpassive</vt:lpstr>
      <vt:lpstr>MeshSizep</vt:lpstr>
      <vt:lpstr>Microhabitatpassive</vt:lpstr>
      <vt:lpstr>SppCodepassive</vt:lpstr>
      <vt:lpstr>WaterCodep</vt:lpstr>
      <vt:lpstr>WaterCodepassive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Shamaskin</dc:creator>
  <cp:lastModifiedBy>shirley</cp:lastModifiedBy>
  <dcterms:created xsi:type="dcterms:W3CDTF">2015-09-15T12:57:18Z</dcterms:created>
  <dcterms:modified xsi:type="dcterms:W3CDTF">2015-10-19T02:14:01Z</dcterms:modified>
</cp:coreProperties>
</file>